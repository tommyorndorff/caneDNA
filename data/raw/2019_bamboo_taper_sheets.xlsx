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PHY 17 8.5 8wt" sheetId="2" r:id="rId5"/>
    <sheet state="visible" name="Sir D" sheetId="3" r:id="rId6"/>
    <sheet state="visible" name="7 3wt" sheetId="4" r:id="rId7"/>
    <sheet state="visible" name="73&quot; 3wt" sheetId="5" r:id="rId8"/>
    <sheet state="visible" name="7 4wt" sheetId="6" r:id="rId9"/>
    <sheet state="visible" name="76&quot; 4wt (2pc)" sheetId="7" r:id="rId10"/>
    <sheet state="visible" name="76&quot; 4wt (3pc)" sheetId="8" r:id="rId11"/>
    <sheet state="visible" name="8 4wt" sheetId="9" r:id="rId12"/>
    <sheet state="visible" name="76&quot; 5wt" sheetId="10" r:id="rId13"/>
    <sheet state="visible" name="83&quot; 5wt" sheetId="11" r:id="rId14"/>
    <sheet state="visible" name="83&quot; 6wt" sheetId="12" r:id="rId15"/>
  </sheets>
  <definedNames/>
  <calcPr/>
</workbook>
</file>

<file path=xl/sharedStrings.xml><?xml version="1.0" encoding="utf-8"?>
<sst xmlns="http://schemas.openxmlformats.org/spreadsheetml/2006/main" count="1989" uniqueCount="117">
  <si>
    <t>Finished Rod Measurement</t>
  </si>
  <si>
    <t xml:space="preserve"> Copyright: November, 2005 by Tom W. Morgan</t>
  </si>
  <si>
    <t>Tip</t>
  </si>
  <si>
    <t>Butt</t>
  </si>
  <si>
    <t>Length:</t>
  </si>
  <si>
    <t>-5"</t>
  </si>
  <si>
    <t>extended</t>
  </si>
  <si>
    <t>7'</t>
  </si>
  <si>
    <t>Line Size:</t>
  </si>
  <si>
    <t>0"</t>
  </si>
  <si>
    <t>Ferrule:</t>
  </si>
  <si>
    <t>14/64</t>
  </si>
  <si>
    <t>3wt</t>
  </si>
  <si>
    <t>5"</t>
  </si>
  <si>
    <t>Diameter:</t>
  </si>
  <si>
    <t>11/64</t>
  </si>
  <si>
    <t>10"</t>
  </si>
  <si>
    <t>15"</t>
  </si>
  <si>
    <t>20"</t>
  </si>
  <si>
    <t>25"</t>
  </si>
  <si>
    <t>30"</t>
  </si>
  <si>
    <t>35"</t>
  </si>
  <si>
    <t>40"</t>
  </si>
  <si>
    <t>45"</t>
  </si>
  <si>
    <t>50"</t>
  </si>
  <si>
    <t>55"</t>
  </si>
  <si>
    <t>ENTER ROUGH OVERSIZE AMOUNT</t>
  </si>
  <si>
    <t>Check butt vs. tip</t>
  </si>
  <si>
    <t>ENTER FINISH OVERSIZE AMOUNT</t>
  </si>
  <si>
    <t>TIP SECTION</t>
  </si>
  <si>
    <t>Setting Your Taper...</t>
  </si>
  <si>
    <t>Rod</t>
  </si>
  <si>
    <t>Build Start Date</t>
  </si>
  <si>
    <t>Station</t>
  </si>
  <si>
    <t>Note</t>
  </si>
  <si>
    <t>Increase</t>
  </si>
  <si>
    <t>Rough</t>
  </si>
  <si>
    <t>Finish</t>
  </si>
  <si>
    <t>Finish +</t>
  </si>
  <si>
    <t>Final</t>
  </si>
  <si>
    <t>Total Increase</t>
  </si>
  <si>
    <t>Rougher</t>
  </si>
  <si>
    <t>MHM</t>
  </si>
  <si>
    <t>Dimension</t>
  </si>
  <si>
    <t>#</t>
  </si>
  <si>
    <t>MGM Oversize at .1355</t>
  </si>
  <si>
    <t>Oversize</t>
  </si>
  <si>
    <t>Enamel</t>
  </si>
  <si>
    <t>(Anvil)</t>
  </si>
  <si>
    <t># 13</t>
  </si>
  <si>
    <t>Tiptop</t>
  </si>
  <si>
    <t># 12</t>
  </si>
  <si>
    <t># 11</t>
  </si>
  <si>
    <t># 10</t>
  </si>
  <si>
    <t># 9</t>
  </si>
  <si>
    <t># 8</t>
  </si>
  <si>
    <t># 7</t>
  </si>
  <si>
    <t># 6</t>
  </si>
  <si>
    <t># 5</t>
  </si>
  <si>
    <t># 4</t>
  </si>
  <si>
    <t>41"</t>
  </si>
  <si>
    <t xml:space="preserve"> </t>
  </si>
  <si>
    <t>42"</t>
  </si>
  <si>
    <t>43"</t>
  </si>
  <si>
    <t>44"</t>
  </si>
  <si>
    <t># 3</t>
  </si>
  <si>
    <t># 2</t>
  </si>
  <si>
    <t># 1</t>
  </si>
  <si>
    <t>60"</t>
  </si>
  <si>
    <t>Ferrule</t>
  </si>
  <si>
    <t># 0</t>
  </si>
  <si>
    <t>BUTT SECTION</t>
  </si>
  <si>
    <t>7'3"</t>
  </si>
  <si>
    <t xml:space="preserve">7' </t>
  </si>
  <si>
    <t xml:space="preserve"> 3wt</t>
  </si>
  <si>
    <t>4wt</t>
  </si>
  <si>
    <t xml:space="preserve"> 11/64</t>
  </si>
  <si>
    <t>12/64</t>
  </si>
  <si>
    <t xml:space="preserve"> 7'6"</t>
  </si>
  <si>
    <t>#13</t>
  </si>
  <si>
    <t>(anvil)</t>
  </si>
  <si>
    <t>#12</t>
  </si>
  <si>
    <t>#11</t>
  </si>
  <si>
    <t>#10</t>
  </si>
  <si>
    <t>#9</t>
  </si>
  <si>
    <t>#8</t>
  </si>
  <si>
    <t>#7</t>
  </si>
  <si>
    <t>#6</t>
  </si>
  <si>
    <t>#5</t>
  </si>
  <si>
    <t>#4</t>
  </si>
  <si>
    <t>Ferrule @ 43.5"</t>
  </si>
  <si>
    <t>#3</t>
  </si>
  <si>
    <t>#2</t>
  </si>
  <si>
    <t>#1</t>
  </si>
  <si>
    <t>#0</t>
  </si>
  <si>
    <t>Oversized to 0.133 on accident</t>
  </si>
  <si>
    <t>Mid</t>
  </si>
  <si>
    <t>F 15/64</t>
  </si>
  <si>
    <t>ferrule 10/64</t>
  </si>
  <si>
    <t>F. 10/64</t>
  </si>
  <si>
    <t>ferrule 15/64</t>
  </si>
  <si>
    <t>8'</t>
  </si>
  <si>
    <t>4w</t>
  </si>
  <si>
    <t>13/64</t>
  </si>
  <si>
    <t>7'6"</t>
  </si>
  <si>
    <t>5wt</t>
  </si>
  <si>
    <t>TMR</t>
  </si>
  <si>
    <t>8'3"</t>
  </si>
  <si>
    <t>46"</t>
  </si>
  <si>
    <t>47"</t>
  </si>
  <si>
    <t>48"</t>
  </si>
  <si>
    <t>49"</t>
  </si>
  <si>
    <t>MID SECTION</t>
  </si>
  <si>
    <t>Ferrule @ 49.5"</t>
  </si>
  <si>
    <t xml:space="preserve"> 8'3"</t>
  </si>
  <si>
    <t>6wt</t>
  </si>
  <si>
    <t>15/64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</si>
</sst>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"/>
    <numFmt numFmtId="165" formatCode="0.0000"/>
    <numFmt numFmtId="166" formatCode="mm/dd/yyyy"/>
    <numFmt numFmtId="167" formatCode="0.00000"/>
    <numFmt numFmtId="168" formatCode="mm/dd/yy"/>
  </numFmts>
  <fonts count="30">
    <font>
      <sz val="10.0"/>
      <color rgb="FF000000"/>
      <name val="Arial"/>
    </font>
    <font>
      <b/>
      <sz val="12.0"/>
      <name val="Helvetica Neue"/>
    </font>
    <font>
      <b/>
      <color rgb="FF000000"/>
      <name val="Arial"/>
    </font>
    <font>
      <b/>
      <sz val="10.0"/>
      <name val="Arial"/>
    </font>
    <font>
      <b/>
      <sz val="10.0"/>
      <name val="Helvetica Neue"/>
    </font>
    <font>
      <sz val="10.0"/>
      <name val="Arial"/>
    </font>
    <font/>
    <font>
      <b/>
      <sz val="10.0"/>
      <color rgb="FFFFFFFF"/>
      <name val="Helvetica Neue"/>
    </font>
    <font>
      <sz val="10.0"/>
      <color rgb="FFFFFFFF"/>
      <name val="Arial"/>
    </font>
    <font>
      <b/>
      <sz val="24.0"/>
      <color rgb="FFFF0000"/>
    </font>
    <font>
      <b/>
      <sz val="14.0"/>
      <name val="Arial"/>
    </font>
    <font>
      <b/>
      <sz val="12.0"/>
      <name val="Arial"/>
    </font>
    <font>
      <b/>
    </font>
    <font>
      <b/>
      <sz val="10.0"/>
      <color rgb="FFF79646"/>
      <name val="Helvetica Neue"/>
    </font>
    <font>
      <b/>
      <sz val="10.0"/>
      <color rgb="FF4F81BD"/>
      <name val="Helvetica Neue"/>
    </font>
    <font>
      <b/>
      <sz val="10.0"/>
      <color rgb="FFFF0000"/>
      <name val="Helvetica Neue"/>
    </font>
    <font>
      <b/>
      <sz val="10.0"/>
      <color rgb="FF800080"/>
      <name val="Arial"/>
    </font>
    <font>
      <b/>
      <sz val="10.0"/>
      <color rgb="FFC0504D"/>
      <name val="Helvetica Neue"/>
    </font>
    <font>
      <sz val="10.0"/>
      <name val="Helvetica Neue"/>
    </font>
    <font>
      <sz val="10.0"/>
      <color rgb="FF4F81BD"/>
      <name val="Helvetica Neue"/>
    </font>
    <font>
      <sz val="10.0"/>
      <color rgb="FFF79646"/>
      <name val="Helvetica Neue"/>
    </font>
    <font>
      <sz val="10.0"/>
      <color rgb="FFC0504D"/>
      <name val="Helvetica Neue"/>
    </font>
    <font>
      <b/>
      <sz val="10.0"/>
      <color rgb="FFD8D8D8"/>
      <name val="Helvetica Neue"/>
    </font>
    <font>
      <sz val="10.0"/>
      <color rgb="FFD8D8D8"/>
      <name val="Helvetica Neue"/>
    </font>
    <font>
      <sz val="10.0"/>
      <color rgb="FFFFFFFF"/>
      <name val="Helvetica Neue"/>
    </font>
    <font>
      <b/>
      <sz val="10.0"/>
      <color rgb="FFFFFFFF"/>
      <name val="Arial"/>
    </font>
    <font>
      <sz val="10.0"/>
      <color rgb="FFC0504D"/>
      <name val="Arial"/>
    </font>
    <font>
      <sz val="10.0"/>
      <color rgb="FFF79646"/>
      <name val="Arial"/>
    </font>
    <font>
      <b/>
      <sz val="10.0"/>
      <color rgb="FFD8D8D8"/>
      <name val="Arial"/>
    </font>
    <font>
      <b/>
      <sz val="14.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30">
    <border/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thick">
        <color rgb="FF000000"/>
      </left>
      <right style="thick">
        <color rgb="FF000000"/>
      </right>
    </border>
    <border>
      <right style="medium">
        <color rgb="FF000000"/>
      </right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horizontal="left" readingOrder="0"/>
    </xf>
    <xf borderId="0" fillId="0" fontId="3" numFmtId="164" xfId="0" applyAlignment="1" applyFont="1" applyNumberFormat="1">
      <alignment horizontal="left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165" xfId="0" applyAlignment="1" applyFont="1" applyNumberFormat="1">
      <alignment horizontal="center" readingOrder="0" shrinkToFit="0" vertical="bottom" wrapText="0"/>
    </xf>
    <xf borderId="0" fillId="0" fontId="3" numFmtId="165" xfId="0" applyAlignment="1" applyFont="1" applyNumberFormat="1">
      <alignment horizontal="center" readingOrder="0" shrinkToFit="0" vertical="bottom" wrapText="0"/>
    </xf>
    <xf borderId="0" fillId="0" fontId="5" numFmtId="164" xfId="0" applyAlignment="1" applyFont="1" applyNumberFormat="1">
      <alignment horizontal="center" shrinkToFit="0" vertical="bottom" wrapText="0"/>
    </xf>
    <xf borderId="0" fillId="0" fontId="4" numFmtId="165" xfId="0" applyAlignment="1" applyFont="1" applyNumberFormat="1">
      <alignment horizontal="center" shrinkToFit="0" vertical="bottom" wrapText="0"/>
    </xf>
    <xf borderId="0" fillId="0" fontId="3" numFmtId="2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vertical="top"/>
    </xf>
    <xf borderId="0" fillId="0" fontId="6" numFmtId="0" xfId="0" applyAlignment="1" applyFont="1">
      <alignment readingOrder="0"/>
    </xf>
    <xf borderId="0" fillId="0" fontId="3" numFmtId="165" xfId="0" applyAlignment="1" applyFont="1" applyNumberFormat="1">
      <alignment horizontal="center" readingOrder="0" shrinkToFit="0" vertical="top" wrapText="0"/>
    </xf>
    <xf borderId="0" fillId="0" fontId="7" numFmtId="0" xfId="0" applyAlignment="1" applyFont="1">
      <alignment horizontal="center" shrinkToFit="0" vertical="bottom" wrapText="0"/>
    </xf>
    <xf borderId="0" fillId="0" fontId="7" numFmtId="164" xfId="0" applyAlignment="1" applyFont="1" applyNumberForma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center" shrinkToFit="0" vertical="bottom" wrapText="0"/>
    </xf>
    <xf borderId="1" fillId="0" fontId="5" numFmtId="165" xfId="0" applyAlignment="1" applyBorder="1" applyFont="1" applyNumberFormat="1">
      <alignment shrinkToFit="0" vertical="bottom" wrapText="0"/>
    </xf>
    <xf borderId="0" fillId="0" fontId="9" numFmtId="0" xfId="0" applyAlignment="1" applyFont="1">
      <alignment readingOrder="0"/>
    </xf>
    <xf borderId="0" fillId="0" fontId="7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2" fillId="0" fontId="5" numFmtId="165" xfId="0" applyAlignment="1" applyBorder="1" applyFont="1" applyNumberFormat="1">
      <alignment shrinkToFit="0" vertical="bottom" wrapText="0"/>
    </xf>
    <xf borderId="0" fillId="0" fontId="4" numFmtId="164" xfId="0" applyAlignment="1" applyFont="1" applyNumberFormat="1">
      <alignment horizontal="center" shrinkToFit="0" vertical="bottom" wrapText="0"/>
    </xf>
    <xf borderId="3" fillId="0" fontId="10" numFmtId="0" xfId="0" applyAlignment="1" applyBorder="1" applyFont="1">
      <alignment horizontal="center" shrinkToFit="0" vertical="bottom" wrapText="0"/>
    </xf>
    <xf borderId="2" fillId="0" fontId="6" numFmtId="0" xfId="0" applyBorder="1" applyFont="1"/>
    <xf borderId="1" fillId="0" fontId="11" numFmtId="0" xfId="0" applyAlignment="1" applyBorder="1" applyFont="1">
      <alignment horizontal="center" shrinkToFit="0" vertical="bottom" wrapText="0"/>
    </xf>
    <xf borderId="4" fillId="0" fontId="6" numFmtId="0" xfId="0" applyBorder="1" applyFont="1"/>
    <xf borderId="1" fillId="0" fontId="6" numFmtId="0" xfId="0" applyBorder="1" applyFont="1"/>
    <xf borderId="0" fillId="0" fontId="11" numFmtId="0" xfId="0" applyAlignment="1" applyFont="1">
      <alignment horizontal="center" shrinkToFit="0" vertical="bottom" wrapText="0"/>
    </xf>
    <xf borderId="5" fillId="0" fontId="5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0" fillId="0" fontId="12" numFmtId="0" xfId="0" applyAlignment="1" applyFont="1">
      <alignment readingOrder="0"/>
    </xf>
    <xf borderId="6" fillId="0" fontId="4" numFmtId="0" xfId="0" applyAlignment="1" applyBorder="1" applyFont="1">
      <alignment horizontal="center" shrinkToFit="0" vertical="bottom" wrapText="0"/>
    </xf>
    <xf borderId="7" fillId="0" fontId="13" numFmtId="0" xfId="0" applyAlignment="1" applyBorder="1" applyFont="1">
      <alignment horizontal="center" readingOrder="0" shrinkToFit="0" vertical="bottom" wrapText="0"/>
    </xf>
    <xf borderId="7" fillId="0" fontId="14" numFmtId="0" xfId="0" applyAlignment="1" applyBorder="1" applyFont="1">
      <alignment horizontal="left" shrinkToFit="0" vertical="bottom" wrapText="0"/>
    </xf>
    <xf borderId="7" fillId="0" fontId="15" numFmtId="0" xfId="0" applyAlignment="1" applyBorder="1" applyFont="1">
      <alignment horizontal="center" shrinkToFit="0" vertical="bottom" wrapText="0"/>
    </xf>
    <xf borderId="7" fillId="0" fontId="16" numFmtId="0" xfId="0" applyAlignment="1" applyBorder="1" applyFont="1">
      <alignment horizontal="center" shrinkToFit="0" vertical="bottom" wrapText="0"/>
    </xf>
    <xf borderId="7" fillId="0" fontId="17" numFmtId="0" xfId="0" applyAlignment="1" applyBorder="1" applyFont="1">
      <alignment horizontal="center" shrinkToFit="0" vertical="bottom" wrapText="0"/>
    </xf>
    <xf borderId="8" fillId="0" fontId="4" numFmtId="0" xfId="0" applyAlignment="1" applyBorder="1" applyFont="1">
      <alignment shrinkToFit="0" vertical="bottom" wrapText="0"/>
    </xf>
    <xf borderId="5" fillId="0" fontId="6" numFmtId="0" xfId="0" applyAlignment="1" applyBorder="1" applyFont="1">
      <alignment readingOrder="0"/>
    </xf>
    <xf borderId="8" fillId="0" fontId="6" numFmtId="0" xfId="0" applyAlignment="1" applyBorder="1" applyFont="1">
      <alignment horizontal="center" readingOrder="0"/>
    </xf>
    <xf borderId="7" fillId="0" fontId="14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left" shrinkToFit="0" vertical="bottom" wrapText="0"/>
    </xf>
    <xf borderId="7" fillId="0" fontId="15" numFmtId="0" xfId="0" applyAlignment="1" applyBorder="1" applyFont="1">
      <alignment horizontal="center" readingOrder="0" shrinkToFit="0" vertical="bottom" wrapText="0"/>
    </xf>
    <xf borderId="9" fillId="0" fontId="5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7" numFmtId="165" xfId="0" applyAlignment="1" applyFont="1" applyNumberFormat="1">
      <alignment horizontal="center" shrinkToFit="0" vertical="bottom" wrapText="0"/>
    </xf>
    <xf borderId="0" fillId="0" fontId="4" numFmtId="166" xfId="0" applyAlignment="1" applyFont="1" applyNumberFormat="1">
      <alignment horizontal="left" readingOrder="0" shrinkToFit="0" vertical="bottom" wrapText="0"/>
    </xf>
    <xf borderId="10" fillId="0" fontId="13" numFmtId="0" xfId="0" applyAlignment="1" applyBorder="1" applyFont="1">
      <alignment horizontal="center" readingOrder="0" shrinkToFit="0" vertical="bottom" wrapText="0"/>
    </xf>
    <xf borderId="10" fillId="0" fontId="14" numFmtId="0" xfId="0" applyAlignment="1" applyBorder="1" applyFont="1">
      <alignment horizontal="center" readingOrder="0" shrinkToFit="0" vertical="bottom" wrapText="0"/>
    </xf>
    <xf borderId="10" fillId="0" fontId="15" numFmtId="0" xfId="0" applyAlignment="1" applyBorder="1" applyFont="1">
      <alignment horizontal="center" shrinkToFit="0" vertical="bottom" wrapText="0"/>
    </xf>
    <xf borderId="11" fillId="0" fontId="13" numFmtId="0" xfId="0" applyAlignment="1" applyBorder="1" applyFont="1">
      <alignment horizontal="center" readingOrder="0" shrinkToFit="0" vertical="bottom" wrapText="0"/>
    </xf>
    <xf borderId="10" fillId="0" fontId="16" numFmtId="0" xfId="0" applyAlignment="1" applyBorder="1" applyFont="1">
      <alignment horizontal="center" shrinkToFit="0" vertical="bottom" wrapText="0"/>
    </xf>
    <xf borderId="12" fillId="0" fontId="14" numFmtId="0" xfId="0" applyAlignment="1" applyBorder="1" applyFont="1">
      <alignment horizontal="center" readingOrder="0" shrinkToFit="0" vertical="bottom" wrapText="0"/>
    </xf>
    <xf borderId="10" fillId="0" fontId="17" numFmtId="0" xfId="0" applyAlignment="1" applyBorder="1" applyFont="1">
      <alignment horizontal="center" shrinkToFit="0" vertical="bottom" wrapText="0"/>
    </xf>
    <xf borderId="12" fillId="0" fontId="4" numFmtId="0" xfId="0" applyAlignment="1" applyBorder="1" applyFont="1">
      <alignment horizontal="center" shrinkToFit="0" vertical="bottom" wrapText="0"/>
    </xf>
    <xf borderId="9" fillId="0" fontId="6" numFmtId="0" xfId="0" applyBorder="1" applyFont="1"/>
    <xf borderId="12" fillId="0" fontId="6" numFmtId="0" xfId="0" applyAlignment="1" applyBorder="1" applyFont="1">
      <alignment horizontal="center" readingOrder="0"/>
    </xf>
    <xf borderId="13" fillId="3" fontId="5" numFmtId="0" xfId="0" applyAlignment="1" applyBorder="1" applyFill="1" applyFont="1">
      <alignment shrinkToFit="0" vertical="bottom" wrapText="0"/>
    </xf>
    <xf borderId="14" fillId="3" fontId="4" numFmtId="0" xfId="0" applyAlignment="1" applyBorder="1" applyFill="1" applyFont="1">
      <alignment horizontal="center" shrinkToFit="0" vertical="bottom" wrapText="0"/>
    </xf>
    <xf borderId="0" fillId="0" fontId="6" numFmtId="0" xfId="0" applyAlignment="1" applyFont="1">
      <alignment horizontal="center" readingOrder="0"/>
    </xf>
    <xf borderId="14" fillId="3" fontId="18" numFmtId="164" xfId="0" applyAlignment="1" applyBorder="1" applyFill="1" applyFont="1" applyNumberFormat="1">
      <alignment horizontal="center" shrinkToFit="0" vertical="bottom" wrapText="0"/>
    </xf>
    <xf borderId="15" fillId="3" fontId="4" numFmtId="1" xfId="0" applyAlignment="1" applyBorder="1" applyFill="1" applyFont="1" applyNumberFormat="1">
      <alignment horizontal="center" shrinkToFit="0" vertical="bottom" wrapText="0"/>
    </xf>
    <xf borderId="7" fillId="3" fontId="13" numFmtId="165" xfId="0" applyAlignment="1" applyBorder="1" applyFill="1" applyFont="1" applyNumberFormat="1">
      <alignment horizontal="center" shrinkToFit="0" vertical="bottom" wrapText="0"/>
    </xf>
    <xf borderId="16" fillId="3" fontId="19" numFmtId="165" xfId="0" applyAlignment="1" applyBorder="1" applyFill="1" applyFont="1" applyNumberFormat="1">
      <alignment horizontal="center" shrinkToFit="0" vertical="bottom" wrapText="0"/>
    </xf>
    <xf borderId="10" fillId="3" fontId="20" numFmtId="165" xfId="0" applyAlignment="1" applyBorder="1" applyFill="1" applyFont="1" applyNumberFormat="1">
      <alignment horizontal="center" readingOrder="0" shrinkToFit="0" vertical="bottom" wrapText="0"/>
    </xf>
    <xf borderId="17" fillId="3" fontId="15" numFmtId="165" xfId="0" applyAlignment="1" applyBorder="1" applyFill="1" applyFont="1" applyNumberFormat="1">
      <alignment horizontal="center" shrinkToFit="0" vertical="bottom" wrapText="0"/>
    </xf>
    <xf borderId="17" fillId="3" fontId="16" numFmtId="165" xfId="0" applyAlignment="1" applyBorder="1" applyFill="1" applyFont="1" applyNumberFormat="1">
      <alignment horizontal="center" shrinkToFit="0" vertical="bottom" wrapText="0"/>
    </xf>
    <xf borderId="17" fillId="3" fontId="21" numFmtId="165" xfId="0" applyAlignment="1" applyBorder="1" applyFill="1" applyFont="1" applyNumberFormat="1">
      <alignment horizontal="center" shrinkToFit="0" vertical="bottom" wrapText="0"/>
    </xf>
    <xf borderId="18" fillId="3" fontId="4" numFmtId="0" xfId="0" applyAlignment="1" applyBorder="1" applyFill="1" applyFont="1">
      <alignment shrinkToFit="0" vertical="bottom" wrapText="0"/>
    </xf>
    <xf borderId="9" fillId="3" fontId="4" numFmtId="0" xfId="0" applyAlignment="1" applyBorder="1" applyFill="1" applyFont="1">
      <alignment shrinkToFit="0" vertical="bottom" wrapText="0"/>
    </xf>
    <xf borderId="12" fillId="0" fontId="5" numFmtId="165" xfId="0" applyAlignment="1" applyBorder="1" applyFont="1" applyNumberFormat="1">
      <alignment horizontal="center" shrinkToFit="0" vertical="bottom" wrapText="0"/>
    </xf>
    <xf borderId="0" fillId="0" fontId="18" numFmtId="164" xfId="0" applyAlignment="1" applyFont="1" applyNumberFormat="1">
      <alignment horizontal="center" shrinkToFit="0" vertical="bottom" wrapText="0"/>
    </xf>
    <xf borderId="9" fillId="0" fontId="3" numFmtId="0" xfId="0" applyAlignment="1" applyBorder="1" applyFont="1">
      <alignment shrinkToFit="0" vertical="bottom" wrapText="0"/>
    </xf>
    <xf borderId="0" fillId="0" fontId="18" numFmtId="164" xfId="0" applyAlignment="1" applyFont="1" applyNumberFormat="1">
      <alignment horizontal="center" readingOrder="0" shrinkToFit="0" vertical="bottom" wrapText="0"/>
    </xf>
    <xf borderId="0" fillId="0" fontId="4" numFmtId="1" xfId="0" applyAlignment="1" applyFont="1" applyNumberFormat="1">
      <alignment horizontal="center" shrinkToFit="0" vertical="bottom" wrapText="0"/>
    </xf>
    <xf borderId="10" fillId="0" fontId="13" numFmtId="165" xfId="0" applyAlignment="1" applyBorder="1" applyFont="1" applyNumberFormat="1">
      <alignment horizontal="center" shrinkToFit="0" vertical="bottom" wrapText="0"/>
    </xf>
    <xf borderId="12" fillId="0" fontId="19" numFmtId="165" xfId="0" applyAlignment="1" applyBorder="1" applyFont="1" applyNumberFormat="1">
      <alignment horizontal="center" shrinkToFit="0" vertical="bottom" wrapText="0"/>
    </xf>
    <xf borderId="10" fillId="0" fontId="15" numFmtId="165" xfId="0" applyAlignment="1" applyBorder="1" applyFont="1" applyNumberFormat="1">
      <alignment horizontal="center" shrinkToFit="0" vertical="bottom" wrapText="0"/>
    </xf>
    <xf borderId="10" fillId="0" fontId="16" numFmtId="165" xfId="0" applyAlignment="1" applyBorder="1" applyFont="1" applyNumberFormat="1">
      <alignment horizontal="center" shrinkToFit="0" vertical="bottom" wrapText="0"/>
    </xf>
    <xf borderId="0" fillId="0" fontId="6" numFmtId="165" xfId="0" applyAlignment="1" applyFont="1" applyNumberFormat="1">
      <alignment horizontal="center"/>
    </xf>
    <xf borderId="10" fillId="0" fontId="21" numFmtId="165" xfId="0" applyAlignment="1" applyBorder="1" applyFont="1" applyNumberFormat="1">
      <alignment horizontal="center" shrinkToFit="0" vertical="bottom" wrapText="0"/>
    </xf>
    <xf borderId="12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10" fillId="0" fontId="20" numFmtId="165" xfId="0" applyAlignment="1" applyBorder="1" applyFont="1" applyNumberFormat="1">
      <alignment horizontal="center" readingOrder="0" shrinkToFit="0" vertical="bottom" wrapText="0"/>
    </xf>
    <xf borderId="10" fillId="3" fontId="13" numFmtId="165" xfId="0" applyAlignment="1" applyBorder="1" applyFill="1" applyFont="1" applyNumberForma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0" fillId="3" fontId="13" numFmtId="165" xfId="0" applyAlignment="1" applyBorder="1" applyFill="1" applyFont="1" applyNumberFormat="1">
      <alignment horizontal="center" readingOrder="0" shrinkToFit="0" vertical="bottom" wrapText="0"/>
    </xf>
    <xf borderId="10" fillId="0" fontId="13" numFmtId="165" xfId="0" applyAlignment="1" applyBorder="1" applyFont="1" applyNumberFormat="1">
      <alignment horizontal="center" readingOrder="0" shrinkToFit="0" vertical="bottom" wrapText="0"/>
    </xf>
    <xf borderId="9" fillId="0" fontId="18" numFmtId="164" xfId="0" applyAlignment="1" applyBorder="1" applyFont="1" applyNumberForma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13" fillId="3" fontId="18" numFmtId="164" xfId="0" applyAlignment="1" applyBorder="1" applyFill="1" applyFont="1" applyNumberFormat="1">
      <alignment horizontal="center" shrinkToFit="0" vertical="bottom" wrapText="0"/>
    </xf>
    <xf borderId="0" fillId="4" fontId="4" numFmtId="1" xfId="0" applyAlignment="1" applyFill="1" applyFont="1" applyNumberFormat="1">
      <alignment horizontal="center" shrinkToFit="0" vertical="bottom" wrapText="0"/>
    </xf>
    <xf borderId="10" fillId="4" fontId="13" numFmtId="165" xfId="0" applyAlignment="1" applyBorder="1" applyFill="1" applyFont="1" applyNumberFormat="1">
      <alignment horizontal="center" readingOrder="0" shrinkToFit="0" vertical="bottom" wrapText="0"/>
    </xf>
    <xf borderId="12" fillId="4" fontId="19" numFmtId="165" xfId="0" applyAlignment="1" applyBorder="1" applyFill="1" applyFont="1" applyNumberFormat="1">
      <alignment horizontal="center" shrinkToFit="0" vertical="bottom" wrapText="0"/>
    </xf>
    <xf borderId="10" fillId="4" fontId="15" numFmtId="165" xfId="0" applyAlignment="1" applyBorder="1" applyFill="1" applyFont="1" applyNumberFormat="1">
      <alignment horizontal="center" shrinkToFit="0" vertical="bottom" wrapText="0"/>
    </xf>
    <xf borderId="18" fillId="3" fontId="18" numFmtId="164" xfId="0" applyAlignment="1" applyBorder="1" applyFill="1" applyFont="1" applyNumberFormat="1">
      <alignment horizontal="center" shrinkToFit="0" vertical="bottom" wrapText="0"/>
    </xf>
    <xf borderId="9" fillId="3" fontId="18" numFmtId="164" xfId="0" applyAlignment="1" applyBorder="1" applyFill="1" applyFont="1" applyNumberFormat="1">
      <alignment horizontal="center" shrinkToFit="0" vertical="bottom" wrapText="0"/>
    </xf>
    <xf borderId="10" fillId="4" fontId="16" numFmtId="165" xfId="0" applyAlignment="1" applyBorder="1" applyFill="1" applyFont="1" applyNumberFormat="1">
      <alignment horizontal="center" shrinkToFit="0" vertical="bottom" wrapText="0"/>
    </xf>
    <xf borderId="10" fillId="4" fontId="21" numFmtId="165" xfId="0" applyAlignment="1" applyBorder="1" applyFill="1" applyFont="1" applyNumberFormat="1">
      <alignment horizontal="center" shrinkToFit="0" vertical="bottom" wrapText="0"/>
    </xf>
    <xf borderId="12" fillId="4" fontId="4" numFmtId="0" xfId="0" applyAlignment="1" applyBorder="1" applyFill="1" applyFont="1">
      <alignment shrinkToFit="0" vertical="bottom" wrapText="0"/>
    </xf>
    <xf borderId="12" fillId="0" fontId="18" numFmtId="164" xfId="0" applyAlignment="1" applyBorder="1" applyFont="1" applyNumberFormat="1">
      <alignment horizontal="center" shrinkToFit="0" vertical="bottom" wrapText="0"/>
    </xf>
    <xf borderId="0" fillId="0" fontId="18" numFmtId="167" xfId="0" applyAlignment="1" applyFont="1" applyNumberFormat="1">
      <alignment horizontal="center" shrinkToFit="0" vertical="bottom" wrapText="0"/>
    </xf>
    <xf borderId="14" fillId="3" fontId="22" numFmtId="0" xfId="0" applyAlignment="1" applyBorder="1" applyFill="1" applyFont="1">
      <alignment horizontal="center" shrinkToFit="0" vertical="bottom" wrapText="0"/>
    </xf>
    <xf borderId="14" fillId="3" fontId="23" numFmtId="164" xfId="0" applyAlignment="1" applyBorder="1" applyFill="1" applyFont="1" applyNumberFormat="1">
      <alignment horizontal="center" shrinkToFit="0" vertical="bottom" wrapText="0"/>
    </xf>
    <xf borderId="14" fillId="3" fontId="18" numFmtId="164" xfId="0" applyAlignment="1" applyBorder="1" applyFill="1" applyFont="1" applyNumberFormat="1">
      <alignment horizontal="center" readingOrder="0" shrinkToFit="0" vertical="bottom" wrapText="0"/>
    </xf>
    <xf borderId="14" fillId="3" fontId="4" numFmtId="0" xfId="0" applyAlignment="1" applyBorder="1" applyFill="1" applyFont="1">
      <alignment horizontal="center" readingOrder="0" shrinkToFit="0" vertical="bottom" wrapText="0"/>
    </xf>
    <xf borderId="19" fillId="0" fontId="5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1" fillId="0" fontId="24" numFmtId="164" xfId="0" applyAlignment="1" applyBorder="1" applyFont="1" applyNumberFormat="1">
      <alignment horizontal="center" shrinkToFit="0" vertical="bottom" wrapText="0"/>
    </xf>
    <xf borderId="1" fillId="0" fontId="4" numFmtId="1" xfId="0" applyAlignment="1" applyBorder="1" applyFont="1" applyNumberFormat="1">
      <alignment horizontal="center" shrinkToFit="0" vertical="bottom" wrapText="0"/>
    </xf>
    <xf borderId="20" fillId="0" fontId="13" numFmtId="165" xfId="0" applyAlignment="1" applyBorder="1" applyFont="1" applyNumberFormat="1">
      <alignment horizontal="center" shrinkToFit="0" vertical="bottom" wrapText="0"/>
    </xf>
    <xf borderId="21" fillId="0" fontId="19" numFmtId="165" xfId="0" applyAlignment="1" applyBorder="1" applyFont="1" applyNumberForma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20" fillId="0" fontId="15" numFmtId="165" xfId="0" applyAlignment="1" applyBorder="1" applyFont="1" applyNumberFormat="1">
      <alignment horizontal="center" shrinkToFit="0" vertical="bottom" wrapText="0"/>
    </xf>
    <xf borderId="9" fillId="0" fontId="3" numFmtId="0" xfId="0" applyAlignment="1" applyBorder="1" applyFont="1">
      <alignment readingOrder="0" shrinkToFit="0" vertical="bottom" wrapText="0"/>
    </xf>
    <xf borderId="20" fillId="0" fontId="16" numFmtId="165" xfId="0" applyAlignment="1" applyBorder="1" applyFont="1" applyNumberFormat="1">
      <alignment horizontal="center" shrinkToFit="0" vertical="bottom" wrapText="0"/>
    </xf>
    <xf borderId="20" fillId="0" fontId="21" numFmtId="165" xfId="0" applyAlignment="1" applyBorder="1" applyFont="1" applyNumberFormat="1">
      <alignment horizontal="center" shrinkToFit="0" vertical="bottom" wrapText="0"/>
    </xf>
    <xf borderId="21" fillId="0" fontId="4" numFmtId="0" xfId="0" applyAlignment="1" applyBorder="1" applyFont="1">
      <alignment shrinkToFit="0" vertical="bottom" wrapText="0"/>
    </xf>
    <xf borderId="19" fillId="0" fontId="4" numFmtId="0" xfId="0" applyAlignment="1" applyBorder="1" applyFont="1">
      <alignment shrinkToFit="0" vertical="bottom" wrapText="0"/>
    </xf>
    <xf borderId="21" fillId="0" fontId="5" numFmtId="165" xfId="0" applyAlignment="1" applyBorder="1" applyFont="1" applyNumberFormat="1">
      <alignment horizontal="center"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11" numFmtId="164" xfId="0" applyAlignment="1" applyFont="1" applyNumberForma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8" fillId="0" fontId="4" numFmtId="0" xfId="0" applyAlignment="1" applyBorder="1" applyFont="1">
      <alignment horizontal="center" shrinkToFit="0" vertical="bottom" wrapText="0"/>
    </xf>
    <xf borderId="9" fillId="0" fontId="4" numFmtId="0" xfId="0" applyAlignment="1" applyBorder="1" applyFont="1">
      <alignment horizontal="center" shrinkToFit="0" vertical="bottom" wrapText="0"/>
    </xf>
    <xf borderId="14" fillId="3" fontId="3" numFmtId="164" xfId="0" applyAlignment="1" applyBorder="1" applyFill="1" applyFont="1" applyNumberFormat="1">
      <alignment horizontal="center" readingOrder="0" shrinkToFit="0" vertical="bottom" wrapText="0"/>
    </xf>
    <xf borderId="14" fillId="3" fontId="4" numFmtId="1" xfId="0" applyAlignment="1" applyBorder="1" applyFill="1" applyFont="1" applyNumberFormat="1">
      <alignment horizontal="center" shrinkToFit="0" vertical="bottom" wrapText="0"/>
    </xf>
    <xf borderId="17" fillId="3" fontId="20" numFmtId="165" xfId="0" applyAlignment="1" applyBorder="1" applyFill="1" applyFont="1" applyNumberFormat="1">
      <alignment horizontal="center" shrinkToFit="0" vertical="bottom" wrapText="0"/>
    </xf>
    <xf borderId="14" fillId="3" fontId="3" numFmtId="164" xfId="0" applyAlignment="1" applyBorder="1" applyFill="1" applyFont="1" applyNumberFormat="1">
      <alignment horizontal="center" shrinkToFit="0" vertical="bottom" wrapText="0"/>
    </xf>
    <xf borderId="17" fillId="3" fontId="19" numFmtId="165" xfId="0" applyAlignment="1" applyBorder="1" applyFill="1" applyFont="1" applyNumberFormat="1">
      <alignment horizontal="center" shrinkToFit="0" vertical="bottom" wrapText="0"/>
    </xf>
    <xf borderId="12" fillId="0" fontId="6" numFmtId="0" xfId="0" applyAlignment="1" applyBorder="1" applyFont="1">
      <alignment horizontal="center"/>
    </xf>
    <xf borderId="0" fillId="0" fontId="3" numFmtId="164" xfId="0" applyAlignment="1" applyFont="1" applyNumberFormat="1">
      <alignment horizontal="center" readingOrder="0" shrinkToFit="0" vertical="bottom" wrapText="0"/>
    </xf>
    <xf borderId="10" fillId="0" fontId="19" numFmtId="165" xfId="0" applyAlignment="1" applyBorder="1" applyFont="1" applyNumberFormat="1">
      <alignment horizontal="center" shrinkToFit="0" vertical="bottom" wrapText="0"/>
    </xf>
    <xf borderId="12" fillId="0" fontId="6" numFmtId="165" xfId="0" applyAlignment="1" applyBorder="1" applyFont="1" applyNumberFormat="1">
      <alignment horizontal="center"/>
    </xf>
    <xf borderId="17" fillId="3" fontId="20" numFmtId="165" xfId="0" applyAlignment="1" applyBorder="1" applyFill="1" applyFont="1" applyNumberFormat="1">
      <alignment horizontal="center" readingOrder="0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22" fillId="2" fontId="25" numFmtId="164" xfId="0" applyAlignment="1" applyBorder="1" applyFill="1" applyFont="1" applyNumberFormat="1">
      <alignment horizontal="center" shrinkToFit="0" vertical="bottom" wrapText="0"/>
    </xf>
    <xf borderId="20" fillId="0" fontId="20" numFmtId="165" xfId="0" applyAlignment="1" applyBorder="1" applyFont="1" applyNumberFormat="1">
      <alignment horizontal="center" shrinkToFit="0" vertical="bottom" wrapText="0"/>
    </xf>
    <xf borderId="20" fillId="0" fontId="19" numFmtId="165" xfId="0" applyAlignment="1" applyBorder="1" applyFont="1" applyNumberFormat="1">
      <alignment horizontal="center" shrinkToFit="0" vertical="bottom" wrapText="0"/>
    </xf>
    <xf borderId="20" fillId="0" fontId="26" numFmtId="165" xfId="0" applyAlignment="1" applyBorder="1" applyFont="1" applyNumberFormat="1">
      <alignment horizontal="center" shrinkToFit="0" vertical="bottom" wrapText="0"/>
    </xf>
    <xf borderId="21" fillId="0" fontId="6" numFmtId="0" xfId="0" applyAlignment="1" applyBorder="1" applyFont="1">
      <alignment horizontal="center"/>
    </xf>
    <xf borderId="0" fillId="0" fontId="26" numFmtId="164" xfId="0" applyAlignment="1" applyFont="1" applyNumberFormat="1">
      <alignment shrinkToFit="0" vertical="bottom" wrapText="0"/>
    </xf>
    <xf borderId="0" fillId="0" fontId="19" numFmtId="164" xfId="0" applyAlignment="1" applyFont="1" applyNumberFormat="1">
      <alignment horizontal="center" shrinkToFit="0" vertical="bottom" wrapText="0"/>
    </xf>
    <xf borderId="0" fillId="0" fontId="14" numFmtId="1" xfId="0" applyAlignment="1" applyFont="1" applyNumberFormat="1">
      <alignment horizontal="center" shrinkToFit="0" vertical="bottom" wrapText="0"/>
    </xf>
    <xf borderId="23" fillId="0" fontId="11" numFmtId="164" xfId="0" applyAlignment="1" applyBorder="1" applyFont="1" applyNumberFormat="1">
      <alignment horizontal="center" shrinkToFit="0" vertical="bottom" wrapText="0"/>
    </xf>
    <xf borderId="0" fillId="0" fontId="27" numFmtId="164" xfId="0" applyAlignment="1" applyFont="1" applyNumberFormat="1">
      <alignment shrinkToFit="0" vertical="bottom" wrapText="0"/>
    </xf>
    <xf borderId="24" fillId="0" fontId="6" numFmtId="0" xfId="0" applyBorder="1" applyFont="1"/>
    <xf borderId="14" fillId="3" fontId="28" numFmtId="164" xfId="0" applyAlignment="1" applyBorder="1" applyFill="1" applyFont="1" applyNumberFormat="1">
      <alignment horizontal="center" shrinkToFit="0" vertical="bottom" wrapText="0"/>
    </xf>
    <xf borderId="25" fillId="0" fontId="6" numFmtId="0" xfId="0" applyBorder="1" applyFont="1"/>
    <xf borderId="0" fillId="0" fontId="3" numFmtId="0" xfId="0" applyAlignment="1" applyFont="1">
      <alignment horizontal="right"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0" fontId="5" numFmtId="14" xfId="0" applyAlignment="1" applyFont="1" applyNumberFormat="1">
      <alignment horizontal="right" shrinkToFit="0" vertical="bottom" wrapText="0"/>
    </xf>
    <xf borderId="0" fillId="0" fontId="3" numFmtId="2" xfId="0" applyAlignment="1" applyFont="1" applyNumberFormat="1">
      <alignment horizontal="right" shrinkToFit="0" vertical="bottom" wrapText="0"/>
    </xf>
    <xf borderId="0" fillId="0" fontId="3" numFmtId="164" xfId="0" applyAlignment="1" applyFont="1" applyNumberFormat="1">
      <alignment shrinkToFit="0" vertical="bottom" wrapText="0"/>
    </xf>
    <xf borderId="21" fillId="0" fontId="6" numFmtId="165" xfId="0" applyAlignment="1" applyBorder="1" applyFont="1" applyNumberFormat="1">
      <alignment horizontal="center"/>
    </xf>
    <xf borderId="0" fillId="0" fontId="18" numFmtId="165" xfId="0" applyAlignment="1" applyFont="1" applyNumberFormat="1">
      <alignment horizontal="center" shrinkToFit="0" vertical="bottom" wrapText="0"/>
    </xf>
    <xf borderId="0" fillId="0" fontId="29" numFmtId="164" xfId="0" applyAlignment="1" applyFont="1" applyNumberFormat="1">
      <alignment shrinkToFit="0" vertical="bottom" wrapText="0"/>
    </xf>
    <xf borderId="17" fillId="4" fontId="20" numFmtId="165" xfId="0" applyAlignment="1" applyBorder="1" applyFill="1" applyFont="1" applyNumberFormat="1">
      <alignment horizontal="center" readingOrder="0" shrinkToFit="0" vertical="bottom" wrapText="0"/>
    </xf>
    <xf borderId="10" fillId="4" fontId="19" numFmtId="165" xfId="0" applyAlignment="1" applyBorder="1" applyFill="1" applyFont="1" applyNumberFormat="1">
      <alignment horizontal="center" shrinkToFit="0" vertical="bottom" wrapText="0"/>
    </xf>
    <xf borderId="0" fillId="0" fontId="6" numFmtId="0" xfId="0" applyAlignment="1" applyFont="1">
      <alignment horizontal="center"/>
    </xf>
    <xf borderId="0" fillId="0" fontId="6" numFmtId="165" xfId="0" applyAlignment="1" applyFont="1" applyNumberFormat="1">
      <alignment readingOrder="0"/>
    </xf>
    <xf borderId="23" fillId="0" fontId="11" numFmtId="0" xfId="0" applyAlignment="1" applyBorder="1" applyFont="1">
      <alignment horizontal="center" shrinkToFit="0" vertical="bottom" wrapText="0"/>
    </xf>
    <xf borderId="26" fillId="0" fontId="13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/>
    </xf>
    <xf borderId="27" fillId="0" fontId="6" numFmtId="0" xfId="0" applyBorder="1" applyFont="1"/>
    <xf borderId="9" fillId="0" fontId="6" numFmtId="0" xfId="0" applyBorder="1" applyFont="1"/>
    <xf borderId="11" fillId="3" fontId="13" numFmtId="165" xfId="0" applyAlignment="1" applyBorder="1" applyFill="1" applyFont="1" applyNumberFormat="1">
      <alignment horizontal="center" readingOrder="0" shrinkToFit="0" vertical="bottom" wrapText="0"/>
    </xf>
    <xf borderId="7" fillId="3" fontId="13" numFmtId="165" xfId="0" applyAlignment="1" applyBorder="1" applyFill="1" applyFont="1" applyNumberFormat="1">
      <alignment horizontal="center" readingOrder="0" shrinkToFit="0" vertical="bottom" wrapText="0"/>
    </xf>
    <xf borderId="9" fillId="0" fontId="6" numFmtId="0" xfId="0" applyAlignment="1" applyBorder="1" applyFont="1">
      <alignment readingOrder="0"/>
    </xf>
    <xf borderId="11" fillId="0" fontId="13" numFmtId="165" xfId="0" applyAlignment="1" applyBorder="1" applyFont="1" applyNumberFormat="1">
      <alignment horizontal="center" readingOrder="0" shrinkToFit="0" vertical="bottom" wrapText="0"/>
    </xf>
    <xf borderId="12" fillId="0" fontId="5" numFmtId="165" xfId="0" applyAlignment="1" applyBorder="1" applyFont="1" applyNumberFormat="1">
      <alignment horizontal="center" readingOrder="0" shrinkToFit="0" vertical="bottom" wrapText="0"/>
    </xf>
    <xf borderId="11" fillId="4" fontId="13" numFmtId="165" xfId="0" applyAlignment="1" applyBorder="1" applyFill="1" applyFont="1" applyNumberFormat="1">
      <alignment horizontal="center" readingOrder="0" shrinkToFit="0" vertical="bottom" wrapText="0"/>
    </xf>
    <xf borderId="11" fillId="3" fontId="13" numFmtId="165" xfId="0" applyAlignment="1" applyBorder="1" applyFill="1" applyFont="1" applyNumberFormat="1">
      <alignment horizontal="center" shrinkToFit="0" vertical="bottom" wrapText="0"/>
    </xf>
    <xf borderId="11" fillId="0" fontId="13" numFmtId="165" xfId="0" applyAlignment="1" applyBorder="1" applyFont="1" applyNumberFormat="1">
      <alignment horizontal="center" shrinkToFit="0" vertical="bottom" wrapText="0"/>
    </xf>
    <xf borderId="13" fillId="3" fontId="18" numFmtId="164" xfId="0" applyAlignment="1" applyBorder="1" applyFill="1" applyFont="1" applyNumberFormat="1">
      <alignment horizontal="center" readingOrder="0" shrinkToFit="0" vertical="bottom" wrapText="0"/>
    </xf>
    <xf borderId="28" fillId="0" fontId="13" numFmtId="165" xfId="0" applyAlignment="1" applyBorder="1" applyFont="1" applyNumberFormat="1">
      <alignment horizontal="center" shrinkToFit="0" vertical="bottom" wrapText="0"/>
    </xf>
    <xf borderId="19" fillId="0" fontId="6" numFmtId="0" xfId="0" applyAlignment="1" applyBorder="1" applyFont="1">
      <alignment readingOrder="0"/>
    </xf>
    <xf borderId="21" fillId="0" fontId="6" numFmtId="0" xfId="0" applyAlignment="1" applyBorder="1" applyFont="1">
      <alignment horizontal="center" readingOrder="0"/>
    </xf>
    <xf borderId="21" fillId="0" fontId="5" numFmtId="165" xfId="0" applyAlignment="1" applyBorder="1" applyFont="1" applyNumberFormat="1">
      <alignment horizontal="center" readingOrder="0" shrinkToFit="0" vertical="bottom" wrapText="0"/>
    </xf>
    <xf borderId="7" fillId="0" fontId="14" numFmtId="0" xfId="0" applyAlignment="1" applyBorder="1" applyFont="1">
      <alignment horizontal="left" readingOrder="0" shrinkToFit="0" vertical="bottom" wrapText="0"/>
    </xf>
    <xf borderId="0" fillId="0" fontId="6" numFmtId="168" xfId="0" applyAlignment="1" applyFont="1" applyNumberFormat="1">
      <alignment readingOrder="0"/>
    </xf>
    <xf borderId="1" fillId="0" fontId="5" numFmtId="165" xfId="0" applyAlignment="1" applyBorder="1" applyFont="1" applyNumberFormat="1">
      <alignment readingOrder="0" shrinkToFit="0" vertical="bottom" wrapText="0"/>
    </xf>
    <xf borderId="2" fillId="0" fontId="5" numFmtId="165" xfId="0" applyAlignment="1" applyBorder="1" applyFont="1" applyNumberFormat="1">
      <alignment readingOrder="0" shrinkToFit="0" vertical="bottom" wrapText="0"/>
    </xf>
    <xf borderId="16" fillId="3" fontId="19" numFmtId="165" xfId="0" applyAlignment="1" applyBorder="1" applyFill="1" applyFont="1" applyNumberFormat="1">
      <alignment horizontal="center" readingOrder="0" shrinkToFit="0" vertical="bottom" wrapText="0"/>
    </xf>
    <xf borderId="17" fillId="3" fontId="15" numFmtId="165" xfId="0" applyAlignment="1" applyBorder="1" applyFill="1" applyFont="1" applyNumberFormat="1">
      <alignment horizontal="center" readingOrder="0" shrinkToFit="0" vertical="bottom" wrapText="0"/>
    </xf>
    <xf borderId="12" fillId="0" fontId="19" numFmtId="165" xfId="0" applyAlignment="1" applyBorder="1" applyFont="1" applyNumberFormat="1">
      <alignment horizontal="center" readingOrder="0" shrinkToFit="0" vertical="bottom" wrapText="0"/>
    </xf>
    <xf borderId="10" fillId="0" fontId="15" numFmtId="165" xfId="0" applyAlignment="1" applyBorder="1" applyFont="1" applyNumberFormat="1">
      <alignment horizontal="center" readingOrder="0" shrinkToFit="0" vertical="bottom" wrapText="0"/>
    </xf>
    <xf borderId="12" fillId="4" fontId="19" numFmtId="165" xfId="0" applyAlignment="1" applyBorder="1" applyFill="1" applyFont="1" applyNumberFormat="1">
      <alignment horizontal="center" readingOrder="0" shrinkToFit="0" vertical="bottom" wrapText="0"/>
    </xf>
    <xf borderId="10" fillId="4" fontId="15" numFmtId="165" xfId="0" applyAlignment="1" applyBorder="1" applyFill="1" applyFont="1" applyNumberFormat="1">
      <alignment horizontal="center" readingOrder="0" shrinkToFit="0" vertical="bottom" wrapText="0"/>
    </xf>
    <xf borderId="9" fillId="0" fontId="5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0" fillId="0" fontId="16" numFmtId="165" xfId="0" applyAlignment="1" applyBorder="1" applyFont="1" applyNumberFormat="1">
      <alignment horizontal="center" readingOrder="0" shrinkToFit="0" vertical="bottom" wrapText="0"/>
    </xf>
    <xf borderId="17" fillId="3" fontId="16" numFmtId="165" xfId="0" applyAlignment="1" applyBorder="1" applyFill="1" applyFont="1" applyNumberFormat="1">
      <alignment horizontal="center" readingOrder="0" shrinkToFit="0" vertical="bottom" wrapText="0"/>
    </xf>
    <xf borderId="7" fillId="0" fontId="6" numFmtId="0" xfId="0" applyAlignment="1" applyBorder="1" applyFont="1">
      <alignment horizontal="center" readingOrder="0"/>
    </xf>
    <xf borderId="10" fillId="0" fontId="6" numFmtId="0" xfId="0" applyAlignment="1" applyBorder="1" applyFont="1">
      <alignment horizontal="center" readingOrder="0"/>
    </xf>
    <xf borderId="10" fillId="0" fontId="21" numFmtId="165" xfId="0" applyAlignment="1" applyBorder="1" applyFont="1" applyNumberFormat="1">
      <alignment horizontal="center" readingOrder="0" shrinkToFit="0" vertical="bottom" wrapText="0"/>
    </xf>
    <xf borderId="10" fillId="0" fontId="5" numFmtId="165" xfId="0" applyAlignment="1" applyBorder="1" applyFont="1" applyNumberFormat="1">
      <alignment horizontal="center" readingOrder="0" shrinkToFit="0" vertical="bottom" wrapText="0"/>
    </xf>
    <xf borderId="20" fillId="0" fontId="15" numFmtId="165" xfId="0" applyAlignment="1" applyBorder="1" applyFont="1" applyNumberFormat="1">
      <alignment horizontal="center" readingOrder="0" shrinkToFit="0" vertical="bottom" wrapText="0"/>
    </xf>
    <xf borderId="20" fillId="0" fontId="16" numFmtId="165" xfId="0" applyAlignment="1" applyBorder="1" applyFont="1" applyNumberFormat="1">
      <alignment horizontal="center" readingOrder="0" shrinkToFit="0" vertical="bottom" wrapText="0"/>
    </xf>
    <xf borderId="0" fillId="3" fontId="4" numFmtId="0" xfId="0" applyAlignment="1" applyFill="1" applyFont="1">
      <alignment horizontal="center" readingOrder="0" shrinkToFit="0" vertical="bottom" wrapText="0"/>
    </xf>
    <xf borderId="0" fillId="3" fontId="18" numFmtId="164" xfId="0" applyAlignment="1" applyFill="1" applyFont="1" applyNumberFormat="1">
      <alignment horizontal="center" readingOrder="0" shrinkToFit="0" vertical="bottom" wrapText="0"/>
    </xf>
    <xf borderId="0" fillId="3" fontId="4" numFmtId="1" xfId="0" applyAlignment="1" applyFill="1" applyFont="1" applyNumberFormat="1">
      <alignment horizontal="center" shrinkToFit="0" vertical="bottom" wrapText="0"/>
    </xf>
    <xf borderId="12" fillId="3" fontId="19" numFmtId="165" xfId="0" applyAlignment="1" applyBorder="1" applyFill="1" applyFont="1" applyNumberFormat="1">
      <alignment horizontal="center" shrinkToFit="0" vertical="bottom" wrapText="0"/>
    </xf>
    <xf borderId="10" fillId="3" fontId="15" numFmtId="165" xfId="0" applyAlignment="1" applyBorder="1" applyFill="1" applyFont="1" applyNumberFormat="1">
      <alignment horizontal="center" shrinkToFit="0" vertical="bottom" wrapText="0"/>
    </xf>
    <xf borderId="10" fillId="3" fontId="16" numFmtId="165" xfId="0" applyAlignment="1" applyBorder="1" applyFill="1" applyFont="1" applyNumberFormat="1">
      <alignment horizontal="center" shrinkToFit="0" vertical="bottom" wrapText="0"/>
    </xf>
    <xf borderId="10" fillId="3" fontId="21" numFmtId="165" xfId="0" applyAlignment="1" applyBorder="1" applyFill="1" applyFont="1" applyNumberFormat="1">
      <alignment horizontal="center" shrinkToFit="0" vertical="bottom" wrapText="0"/>
    </xf>
    <xf borderId="12" fillId="3" fontId="4" numFmtId="0" xfId="0" applyAlignment="1" applyBorder="1" applyFill="1" applyFont="1">
      <alignment shrinkToFit="0" vertical="bottom" wrapText="0"/>
    </xf>
    <xf borderId="9" fillId="0" fontId="18" numFmtId="164" xfId="0" applyAlignment="1" applyBorder="1" applyFont="1" applyNumberFormat="1">
      <alignment horizontal="center" readingOrder="0" shrinkToFit="0" vertical="bottom" wrapText="0"/>
    </xf>
    <xf borderId="29" fillId="0" fontId="13" numFmtId="0" xfId="0" applyAlignment="1" applyBorder="1" applyFont="1">
      <alignment horizontal="center" readingOrder="0" shrinkToFit="0" vertical="bottom" wrapText="0"/>
    </xf>
    <xf borderId="10" fillId="0" fontId="5" numFmtId="165" xfId="0" applyAlignment="1" applyBorder="1" applyFont="1" applyNumberFormat="1">
      <alignment horizontal="center" shrinkToFit="0" vertical="bottom" wrapText="0"/>
    </xf>
    <xf borderId="23" fillId="0" fontId="11" numFmtId="164" xfId="0" applyAlignment="1" applyBorder="1" applyFont="1" applyNumberFormat="1">
      <alignment horizontal="center" readingOrder="0" shrinkToFit="0" vertical="bottom" wrapText="0"/>
    </xf>
    <xf borderId="9" fillId="0" fontId="6" numFmtId="0" xfId="0" applyAlignment="1" applyBorder="1" applyFont="1">
      <alignment readingOrder="0"/>
    </xf>
    <xf borderId="10" fillId="0" fontId="19" numFmtId="165" xfId="0" applyAlignment="1" applyBorder="1" applyFont="1" applyNumberFormat="1">
      <alignment horizontal="center" readingOrder="0" shrinkToFit="0" vertical="bottom" wrapText="0"/>
    </xf>
    <xf borderId="17" fillId="3" fontId="19" numFmtId="165" xfId="0" applyAlignment="1" applyBorder="1" applyFill="1" applyFont="1" applyNumberFormat="1">
      <alignment horizontal="center" readingOrder="0" shrinkToFit="0" vertical="bottom" wrapText="0"/>
    </xf>
    <xf borderId="20" fillId="0" fontId="5" numFmtId="165" xfId="0" applyAlignment="1" applyBorder="1" applyFont="1" applyNumberFormat="1">
      <alignment horizontal="center" shrinkToFit="0" vertical="bottom" wrapText="0"/>
    </xf>
    <xf borderId="10" fillId="4" fontId="19" numFmtId="165" xfId="0" applyAlignment="1" applyBorder="1" applyFill="1" applyFont="1" applyNumberFormat="1">
      <alignment horizontal="center" readingOrder="0" shrinkToFit="0" vertical="bottom" wrapText="0"/>
    </xf>
    <xf borderId="0" fillId="0" fontId="6" numFmtId="0" xfId="0" applyFont="1"/>
    <xf borderId="0" fillId="0" fontId="6" numFmtId="164" xfId="0" applyFont="1" applyNumberFormat="1"/>
    <xf borderId="9" fillId="3" fontId="18" numFmtId="164" xfId="0" applyAlignment="1" applyBorder="1" applyFill="1" applyFont="1" applyNumberFormat="1">
      <alignment horizontal="center" readingOrder="0" shrinkToFit="0" vertical="bottom" wrapText="0"/>
    </xf>
    <xf borderId="14" fillId="3" fontId="23" numFmtId="164" xfId="0" applyAlignment="1" applyBorder="1" applyFill="1" applyFont="1" applyNumberFormat="1">
      <alignment horizontal="center" readingOrder="0" shrinkToFit="0" vertical="bottom" wrapText="0"/>
    </xf>
    <xf borderId="17" fillId="3" fontId="21" numFmtId="165" xfId="0" applyAlignment="1" applyBorder="1" applyFill="1" applyFont="1" applyNumberFormat="1">
      <alignment horizontal="center" readingOrder="0" shrinkToFit="0" vertical="bottom" wrapText="0"/>
    </xf>
    <xf borderId="19" fillId="0" fontId="6" numFmtId="0" xfId="0" applyAlignment="1" applyBorder="1" applyFont="1">
      <alignment readingOrder="0"/>
    </xf>
    <xf borderId="20" fillId="0" fontId="19" numFmtId="165" xfId="0" applyAlignment="1" applyBorder="1" applyFont="1" applyNumberFormat="1">
      <alignment horizontal="center" readingOrder="0" shrinkToFit="0" vertical="bottom" wrapText="0"/>
    </xf>
    <xf borderId="20" fillId="0" fontId="26" numFmtId="165" xfId="0" applyAlignment="1" applyBorder="1" applyFont="1" applyNumberFormat="1">
      <alignment horizontal="center" readingOrder="0" shrinkToFit="0" vertical="bottom" wrapText="0"/>
    </xf>
    <xf borderId="20" fillId="0" fontId="6" numFmtId="0" xfId="0" applyAlignment="1" applyBorder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5">
    <tableStyle count="2" pivot="0" name="Master-style">
      <tableStyleElement dxfId="1" type="firstRowStripe"/>
      <tableStyleElement dxfId="2" type="secondRowStripe"/>
    </tableStyle>
    <tableStyle count="2" pivot="0" name="Sir D-style">
      <tableStyleElement dxfId="1" type="firstRowStripe"/>
      <tableStyleElement dxfId="2" type="secondRowStripe"/>
    </tableStyle>
    <tableStyle count="2" pivot="0" name="PHY 17 8.5 8wt-style">
      <tableStyleElement dxfId="1" type="firstRowStripe"/>
      <tableStyleElement dxfId="2" type="secondRowStripe"/>
    </tableStyle>
    <tableStyle count="2" pivot="0" name="Master-style 2">
      <tableStyleElement dxfId="1" type="firstRowStripe"/>
      <tableStyleElement dxfId="2" type="secondRowStripe"/>
    </tableStyle>
    <tableStyle count="2" pivot="0" name="PHY 17 8.5 8wt-style 2">
      <tableStyleElement dxfId="1" type="firstRowStripe"/>
      <tableStyleElement dxfId="2" type="secondRowStripe"/>
    </tableStyle>
    <tableStyle count="2" pivot="0" name="Sir D-style 2">
      <tableStyleElement dxfId="1" type="firstRowStripe"/>
      <tableStyleElement dxfId="2" type="secondRowStripe"/>
    </tableStyle>
    <tableStyle count="2" pivot="0" name="7 3wt-style">
      <tableStyleElement dxfId="1" type="firstRowStripe"/>
      <tableStyleElement dxfId="2" type="secondRowStripe"/>
    </tableStyle>
    <tableStyle count="2" pivot="0" name="7 3wt-style 2">
      <tableStyleElement dxfId="1" type="firstRowStripe"/>
      <tableStyleElement dxfId="2" type="secondRowStripe"/>
    </tableStyle>
    <tableStyle count="2" pivot="0" name="73&quot; 3wt-style">
      <tableStyleElement dxfId="1" type="firstRowStripe"/>
      <tableStyleElement dxfId="2" type="secondRowStripe"/>
    </tableStyle>
    <tableStyle count="2" pivot="0" name="7 4wt-style">
      <tableStyleElement dxfId="1" type="firstRowStripe"/>
      <tableStyleElement dxfId="3" type="secondRowStripe"/>
    </tableStyle>
    <tableStyle count="2" pivot="0" name="73&quot; 3wt-style 2">
      <tableStyleElement dxfId="1" type="firstRowStripe"/>
      <tableStyleElement dxfId="2" type="secondRowStripe"/>
    </tableStyle>
    <tableStyle count="2" pivot="0" name="7 4wt-style 2">
      <tableStyleElement dxfId="1" type="firstRowStripe"/>
      <tableStyleElement dxfId="3" type="secondRowStripe"/>
    </tableStyle>
    <tableStyle count="2" pivot="0" name="76&quot; 4wt (2pc)-style">
      <tableStyleElement dxfId="1" type="firstRowStripe"/>
      <tableStyleElement dxfId="2" type="secondRowStripe"/>
    </tableStyle>
    <tableStyle count="2" pivot="0" name="76&quot; 4wt (2pc)-style 2">
      <tableStyleElement dxfId="1" type="firstRowStripe"/>
      <tableStyleElement dxfId="2" type="secondRowStripe"/>
    </tableStyle>
    <tableStyle count="2" pivot="0" name="76&quot; 4wt (3pc)-style">
      <tableStyleElement dxfId="1" type="firstRowStripe"/>
      <tableStyleElement dxfId="2" type="secondRowStripe"/>
    </tableStyle>
    <tableStyle count="2" pivot="0" name="76&quot; 4wt (3pc)-style 2">
      <tableStyleElement dxfId="1" type="firstRowStripe"/>
      <tableStyleElement dxfId="2" type="secondRowStripe"/>
    </tableStyle>
    <tableStyle count="2" pivot="0" name="76&quot; 4wt (3pc)-style 3">
      <tableStyleElement dxfId="1" type="firstRowStripe"/>
      <tableStyleElement dxfId="2" type="secondRowStripe"/>
    </tableStyle>
    <tableStyle count="2" pivot="0" name="8 4wt-style">
      <tableStyleElement dxfId="1" type="firstRowStripe"/>
      <tableStyleElement dxfId="2" type="secondRowStripe"/>
    </tableStyle>
    <tableStyle count="2" pivot="0" name="8 4wt-style 2">
      <tableStyleElement dxfId="1" type="firstRowStripe"/>
      <tableStyleElement dxfId="2" type="secondRowStripe"/>
    </tableStyle>
    <tableStyle count="2" pivot="0" name="76&quot; 5wt-style">
      <tableStyleElement dxfId="1" type="firstRowStripe"/>
      <tableStyleElement dxfId="2" type="secondRowStripe"/>
    </tableStyle>
    <tableStyle count="2" pivot="0" name="76&quot; 5wt-style 2">
      <tableStyleElement dxfId="1" type="firstRowStripe"/>
      <tableStyleElement dxfId="2" type="secondRowStripe"/>
    </tableStyle>
    <tableStyle count="2" pivot="0" name="83&quot; 5wt-style">
      <tableStyleElement dxfId="1" type="firstRowStripe"/>
      <tableStyleElement dxfId="2" type="secondRowStripe"/>
    </tableStyle>
    <tableStyle count="2" pivot="0" name="83&quot; 5wt-style 2">
      <tableStyleElement dxfId="1" type="firstRowStripe"/>
      <tableStyleElement dxfId="2" type="secondRowStripe"/>
    </tableStyle>
    <tableStyle count="2" pivot="0" name="83&quot; 6wt-style">
      <tableStyleElement dxfId="1" type="firstRowStripe"/>
      <tableStyleElement dxfId="2" type="secondRowStripe"/>
    </tableStyle>
    <tableStyle count="2" pivot="0" name="83&quot; 6wt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N23:N41" displayName="Table_2" name="Table_2" id="1">
  <tableColumns count="1">
    <tableColumn name="Column1" id="1"/>
  </tableColumns>
  <tableStyleInfo name="Master-style" showColumnStripes="0" showFirstColumn="1" showLastColumn="1" showRowStripes="1"/>
</table>
</file>

<file path=xl/tables/table2.xml><?xml version="1.0" encoding="utf-8"?>
<table xmlns="http://schemas.openxmlformats.org/spreadsheetml/2006/main" headerRowCount="0" ref="N48:N62" displayName="Table_5" name="Table_5" id="5">
  <tableColumns count="1">
    <tableColumn name="Column1" id="1"/>
  </tableColumns>
  <tableStyleInfo name="Master-style 2" showColumnStripes="0" showFirstColumn="1" showLastColumn="1" showRowStripes="1"/>
</table>
</file>

<file path=xl/tables/table3.xml><?xml version="1.0" encoding="utf-8"?>
<table xmlns="http://schemas.openxmlformats.org/spreadsheetml/2006/main" headerRowCount="0" ref="N23:N41" displayName="Table_3" name="Table_3" id="3">
  <tableColumns count="1">
    <tableColumn name="Column1" id="1"/>
  </tableColumns>
  <tableStyleInfo name="PHY 17 8.5 8wt-style" showColumnStripes="0" showFirstColumn="1" showLastColumn="1" showRowStripes="1"/>
</table>
</file>

<file path=xl/tables/table4.xml><?xml version="1.0" encoding="utf-8"?>
<table xmlns="http://schemas.openxmlformats.org/spreadsheetml/2006/main" headerRowCount="0" ref="N48:N62" displayName="Table_6" name="Table_6" id="6">
  <tableColumns count="1">
    <tableColumn name="Column1" id="1"/>
  </tableColumns>
  <tableStyleInfo name="PHY 17 8.5 8wt-style 2" showColumnStripes="0" showFirstColumn="1" showLastColumn="1" showRowStripes="1"/>
</table>
</file>

<file path=xl/tables/table5.xml><?xml version="1.0" encoding="utf-8"?>
<table xmlns="http://schemas.openxmlformats.org/spreadsheetml/2006/main" headerRowCount="0" ref="N23:N41" displayName="Table_1" name="Table_1" id="2">
  <tableColumns count="1">
    <tableColumn name="Column1" id="1"/>
  </tableColumns>
  <tableStyleInfo name="Sir D-style" showColumnStripes="0" showFirstColumn="1" showLastColumn="1" showRowStripes="1"/>
</table>
</file>

<file path=xl/tables/table6.xml><?xml version="1.0" encoding="utf-8"?>
<table xmlns="http://schemas.openxmlformats.org/spreadsheetml/2006/main" headerRowCount="0" ref="N48:N62" displayName="Table_7" name="Table_7" id="7">
  <tableColumns count="1">
    <tableColumn name="Column1" id="1"/>
  </tableColumns>
  <tableStyleInfo name="Sir D-style 2" showColumnStripes="0" showFirstColumn="1" showLastColumn="1" showRowStripes="1"/>
</table>
</file>

<file path=xl/tables/table7.xml><?xml version="1.0" encoding="utf-8"?>
<table xmlns="http://schemas.openxmlformats.org/spreadsheetml/2006/main" headerRowCount="0" ref="M21:N39" displayName="Table_4" name="Table_4" id="4">
  <tableColumns count="2">
    <tableColumn name="Column1" id="1"/>
    <tableColumn name="Column2" id="2"/>
  </tableColumns>
  <tableStyleInfo name="7 3wt-style" showColumnStripes="0" showFirstColumn="1" showLastColumn="1" showRowStripes="1"/>
</table>
</file>

<file path=xl/tables/table8.xml><?xml version="1.0" encoding="utf-8"?>
<table xmlns="http://schemas.openxmlformats.org/spreadsheetml/2006/main" headerRowCount="0" ref="M47:N61" displayName="Table_8" name="Table_8" id="8">
  <tableColumns count="2">
    <tableColumn name="Column1" id="1"/>
    <tableColumn name="Column2" id="2"/>
  </tableColumns>
  <tableStyleInfo name="7 3wt-style 2" showColumnStripes="0" showFirstColumn="1" showLastColumn="1" showRowStripes="1"/>
</table>
</file>

<file path=xl/tables/table9.xml><?xml version="1.0" encoding="utf-8"?>
<table xmlns="http://schemas.openxmlformats.org/spreadsheetml/2006/main" headerRowCount="0" ref="M21:M39" displayName="Table_9" name="Table_9" id="10">
  <tableColumns count="1">
    <tableColumn name="Column1" id="1"/>
  </tableColumns>
  <tableStyleInfo name="73&quot; 3wt-style" showColumnStripes="0" showFirstColumn="1" showLastColumn="1" showRowStripes="1"/>
</table>
</file>

<file path=xl/tables/table10.xml><?xml version="1.0" encoding="utf-8"?>
<table xmlns="http://schemas.openxmlformats.org/spreadsheetml/2006/main" headerRowCount="0" ref="M47:M61" displayName="Table_11" name="Table_11" id="11">
  <tableColumns count="1">
    <tableColumn name="Column1" id="1"/>
  </tableColumns>
  <tableStyleInfo name="73&quot; 3wt-style 2" showColumnStripes="0" showFirstColumn="1" showLastColumn="1" showRowStripes="1"/>
</table>
</file>

<file path=xl/tables/table11.xml><?xml version="1.0" encoding="utf-8"?>
<table xmlns="http://schemas.openxmlformats.org/spreadsheetml/2006/main" headerRowCount="0" ref="L21:M39" displayName="Table_10" name="Table_10" id="9">
  <tableColumns count="2">
    <tableColumn name="Column1" id="1"/>
    <tableColumn name="Column2" id="2"/>
  </tableColumns>
  <tableStyleInfo name="7 4wt-style" showColumnStripes="0" showFirstColumn="1" showLastColumn="1" showRowStripes="1"/>
</table>
</file>

<file path=xl/tables/table12.xml><?xml version="1.0" encoding="utf-8"?>
<table xmlns="http://schemas.openxmlformats.org/spreadsheetml/2006/main" headerRowCount="0" ref="L47:M61" displayName="Table_12" name="Table_12" id="12">
  <tableColumns count="2">
    <tableColumn name="Column1" id="1"/>
    <tableColumn name="Column2" id="2"/>
  </tableColumns>
  <tableStyleInfo name="7 4wt-style 2" showColumnStripes="0" showFirstColumn="1" showLastColumn="1" showRowStripes="1"/>
</table>
</file>

<file path=xl/tables/table13.xml><?xml version="1.0" encoding="utf-8"?>
<table xmlns="http://schemas.openxmlformats.org/spreadsheetml/2006/main" headerRowCount="0" ref="M21:M35" displayName="Table_13" name="Table_13" id="13">
  <tableColumns count="1">
    <tableColumn name="Column1" id="1"/>
  </tableColumns>
  <tableStyleInfo name="76&quot; 4wt (2pc)-style" showColumnStripes="0" showFirstColumn="1" showLastColumn="1" showRowStripes="1"/>
</table>
</file>

<file path=xl/tables/table14.xml><?xml version="1.0" encoding="utf-8"?>
<table xmlns="http://schemas.openxmlformats.org/spreadsheetml/2006/main" headerRowCount="0" ref="M47:N61" displayName="Table_14" name="Table_14" id="14">
  <tableColumns count="2">
    <tableColumn name="Column1" id="1"/>
    <tableColumn name="Column2" id="2"/>
  </tableColumns>
  <tableStyleInfo name="76&quot; 4wt (2pc)-style 2" showColumnStripes="0" showFirstColumn="1" showLastColumn="1" showRowStripes="1"/>
</table>
</file>

<file path=xl/tables/table15.xml><?xml version="1.0" encoding="utf-8"?>
<table xmlns="http://schemas.openxmlformats.org/spreadsheetml/2006/main" headerRowCount="0" ref="M21:M39" displayName="Table_15" name="Table_15" id="15">
  <tableColumns count="1">
    <tableColumn name="Column1" id="1"/>
  </tableColumns>
  <tableStyleInfo name="76&quot; 4wt (3pc)-style" showColumnStripes="0" showFirstColumn="1" showLastColumn="1" showRowStripes="1"/>
</table>
</file>

<file path=xl/tables/table16.xml><?xml version="1.0" encoding="utf-8"?>
<table xmlns="http://schemas.openxmlformats.org/spreadsheetml/2006/main" headerRowCount="0" ref="M49:M63" displayName="Table_16" name="Table_16" id="16">
  <tableColumns count="1">
    <tableColumn name="Column1" id="1"/>
  </tableColumns>
  <tableStyleInfo name="76&quot; 4wt (3pc)-style 2" showColumnStripes="0" showFirstColumn="1" showLastColumn="1" showRowStripes="1"/>
</table>
</file>

<file path=xl/tables/table17.xml><?xml version="1.0" encoding="utf-8"?>
<table xmlns="http://schemas.openxmlformats.org/spreadsheetml/2006/main" headerRowCount="0" ref="M78:M92" displayName="Table_17" name="Table_17" id="17">
  <tableColumns count="1">
    <tableColumn name="Column1" id="1"/>
  </tableColumns>
  <tableStyleInfo name="76&quot; 4wt (3pc)-style 3" showColumnStripes="0" showFirstColumn="1" showLastColumn="1" showRowStripes="1"/>
</table>
</file>

<file path=xl/tables/table18.xml><?xml version="1.0" encoding="utf-8"?>
<table xmlns="http://schemas.openxmlformats.org/spreadsheetml/2006/main" headerRowCount="0" ref="M21:M39" displayName="Table_18" name="Table_18" id="18">
  <tableColumns count="1">
    <tableColumn name="Column1" id="1"/>
  </tableColumns>
  <tableStyleInfo name="8 4wt-style" showColumnStripes="0" showFirstColumn="1" showLastColumn="1" showRowStripes="1"/>
</table>
</file>

<file path=xl/tables/table19.xml><?xml version="1.0" encoding="utf-8"?>
<table xmlns="http://schemas.openxmlformats.org/spreadsheetml/2006/main" headerRowCount="0" ref="M47:M61" displayName="Table_20" name="Table_20" id="20">
  <tableColumns count="1">
    <tableColumn name="Column1" id="1"/>
  </tableColumns>
  <tableStyleInfo name="8 4wt-style 2" showColumnStripes="0" showFirstColumn="1" showLastColumn="1" showRowStripes="1"/>
</table>
</file>

<file path=xl/tables/table20.xml><?xml version="1.0" encoding="utf-8"?>
<table xmlns="http://schemas.openxmlformats.org/spreadsheetml/2006/main" headerRowCount="0" ref="M21:M39" displayName="Table_19" name="Table_19" id="19">
  <tableColumns count="1">
    <tableColumn name="Column1" id="1"/>
  </tableColumns>
  <tableStyleInfo name="76&quot; 5wt-style" showColumnStripes="0" showFirstColumn="1" showLastColumn="1" showRowStripes="1"/>
</table>
</file>

<file path=xl/tables/table21.xml><?xml version="1.0" encoding="utf-8"?>
<table xmlns="http://schemas.openxmlformats.org/spreadsheetml/2006/main" headerRowCount="0" ref="M47:M61" displayName="Table_21" name="Table_21" id="21">
  <tableColumns count="1">
    <tableColumn name="Column1" id="1"/>
  </tableColumns>
  <tableStyleInfo name="76&quot; 5wt-style 2" showColumnStripes="0" showFirstColumn="1" showLastColumn="1" showRowStripes="1"/>
</table>
</file>

<file path=xl/tables/table22.xml><?xml version="1.0" encoding="utf-8"?>
<table xmlns="http://schemas.openxmlformats.org/spreadsheetml/2006/main" headerRowCount="0" ref="M21:M39" displayName="Table_22" name="Table_22" id="22">
  <tableColumns count="1">
    <tableColumn name="Column1" id="1"/>
  </tableColumns>
  <tableStyleInfo name="83&quot; 5wt-style" showColumnStripes="0" showFirstColumn="1" showLastColumn="1" showRowStripes="1"/>
</table>
</file>

<file path=xl/tables/table23.xml><?xml version="1.0" encoding="utf-8"?>
<table xmlns="http://schemas.openxmlformats.org/spreadsheetml/2006/main" headerRowCount="0" ref="M47:M61" displayName="Table_23" name="Table_23" id="23">
  <tableColumns count="1">
    <tableColumn name="Column1" id="1"/>
  </tableColumns>
  <tableStyleInfo name="83&quot; 5wt-style 2" showColumnStripes="0" showFirstColumn="1" showLastColumn="1" showRowStripes="1"/>
</table>
</file>

<file path=xl/tables/table24.xml><?xml version="1.0" encoding="utf-8"?>
<table xmlns="http://schemas.openxmlformats.org/spreadsheetml/2006/main" headerRowCount="0" ref="M21:M39" displayName="Table_24" name="Table_24" id="24">
  <tableColumns count="1">
    <tableColumn name="Column1" id="1"/>
  </tableColumns>
  <tableStyleInfo name="83&quot; 6wt-style" showColumnStripes="0" showFirstColumn="1" showLastColumn="1" showRowStripes="1"/>
</table>
</file>

<file path=xl/tables/table25.xml><?xml version="1.0" encoding="utf-8"?>
<table xmlns="http://schemas.openxmlformats.org/spreadsheetml/2006/main" headerRowCount="0" ref="M46:M60" displayName="Table_25" name="Table_25" id="25">
  <tableColumns count="1">
    <tableColumn name="Column1" id="1"/>
  </tableColumns>
  <tableStyleInfo name="83&quot; 6wt-style 2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5" Type="http://schemas.openxmlformats.org/officeDocument/2006/relationships/table" Target="../tables/table15.xml"/><Relationship Id="rId6" Type="http://schemas.openxmlformats.org/officeDocument/2006/relationships/table" Target="../tables/table16.xml"/><Relationship Id="rId7" Type="http://schemas.openxmlformats.org/officeDocument/2006/relationships/table" Target="../tables/table1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8.xml"/><Relationship Id="rId5" Type="http://schemas.openxmlformats.org/officeDocument/2006/relationships/table" Target="../tables/table1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20.xml"/><Relationship Id="rId5" Type="http://schemas.openxmlformats.org/officeDocument/2006/relationships/table" Target="../tables/table2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22.xml"/><Relationship Id="rId5" Type="http://schemas.openxmlformats.org/officeDocument/2006/relationships/table" Target="../tables/table2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24.xml"/><Relationship Id="rId5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3" width="8.5"/>
    <col customWidth="1" min="4" max="4" width="10.25"/>
    <col customWidth="1" min="5" max="5" width="7.0"/>
    <col customWidth="1" min="6" max="6" width="8.13"/>
    <col customWidth="1" min="7" max="7" width="8.88"/>
    <col customWidth="1" min="8" max="8" width="7.25"/>
    <col customWidth="1" min="9" max="9" width="7.0"/>
    <col customWidth="1" min="10" max="10" width="7.88"/>
    <col customWidth="1" min="11" max="11" width="8.0"/>
    <col customWidth="1" min="12" max="12" width="8.13"/>
    <col customWidth="1" min="13" max="13" width="7.0"/>
    <col customWidth="1" min="14" max="14" width="11.25"/>
    <col customWidth="1" min="15" max="27" width="7.0"/>
  </cols>
  <sheetData>
    <row r="1">
      <c r="A1" s="1"/>
      <c r="H1" s="2" t="s">
        <v>0</v>
      </c>
      <c r="J1" s="3"/>
    </row>
    <row r="2" ht="12.75" customHeight="1">
      <c r="A2" t="s">
        <v>1</v>
      </c>
    </row>
    <row r="3" ht="12.75" customHeight="1">
      <c r="H3" s="4" t="s">
        <v>2</v>
      </c>
      <c r="I3" s="4"/>
      <c r="J3" s="4"/>
      <c r="K3" s="4" t="s">
        <v>3</v>
      </c>
    </row>
    <row r="4" ht="12.75" customHeight="1">
      <c r="A4" s="5" t="s">
        <v>4</v>
      </c>
      <c r="B4" s="6">
        <v>8.0</v>
      </c>
      <c r="C4" s="6"/>
      <c r="H4" s="7" t="s">
        <v>5</v>
      </c>
      <c r="I4" s="11">
        <v>0.0</v>
      </c>
      <c r="J4" t="s">
        <v>6</v>
      </c>
      <c r="K4" s="9">
        <v>0.0</v>
      </c>
      <c r="L4" t="s">
        <v>6</v>
      </c>
      <c r="S4" s="10"/>
    </row>
    <row r="5" ht="12.75" customHeight="1">
      <c r="A5" s="5" t="s">
        <v>8</v>
      </c>
      <c r="B5" s="6">
        <v>6.0</v>
      </c>
      <c r="C5" s="6"/>
      <c r="H5" s="7" t="s">
        <v>9</v>
      </c>
      <c r="I5" s="8">
        <v>0.0</v>
      </c>
      <c r="K5" s="9">
        <v>0.0</v>
      </c>
      <c r="S5" s="10"/>
    </row>
    <row r="6" ht="12.75" customHeight="1">
      <c r="A6" s="5" t="s">
        <v>10</v>
      </c>
      <c r="B6" s="12" t="s">
        <v>11</v>
      </c>
      <c r="C6" s="12"/>
      <c r="H6" s="7" t="s">
        <v>13</v>
      </c>
      <c r="I6" s="11">
        <v>0.0</v>
      </c>
      <c r="K6" s="9">
        <v>0.0</v>
      </c>
      <c r="S6" s="10"/>
    </row>
    <row r="7" ht="12.75" customHeight="1">
      <c r="A7" s="5" t="s">
        <v>14</v>
      </c>
      <c r="B7" s="13">
        <v>0.215</v>
      </c>
      <c r="C7" s="13"/>
      <c r="H7" s="7" t="s">
        <v>16</v>
      </c>
      <c r="I7" s="11">
        <v>0.0</v>
      </c>
      <c r="K7" s="9">
        <v>0.0</v>
      </c>
      <c r="S7" s="10"/>
    </row>
    <row r="8" ht="12.75" customHeight="1">
      <c r="C8" s="14"/>
      <c r="H8" s="7"/>
      <c r="I8" s="11"/>
      <c r="K8" s="16"/>
      <c r="S8" s="10"/>
    </row>
    <row r="9" ht="12.75" customHeight="1">
      <c r="H9" s="7"/>
      <c r="I9" s="11"/>
      <c r="K9" s="9"/>
      <c r="S9" s="10"/>
    </row>
    <row r="10" ht="12.75" customHeight="1">
      <c r="H10" s="7" t="s">
        <v>17</v>
      </c>
      <c r="I10" s="11">
        <v>0.0</v>
      </c>
      <c r="K10" s="9">
        <v>0.0</v>
      </c>
      <c r="S10" s="10"/>
    </row>
    <row r="11" ht="12.75" customHeight="1">
      <c r="H11" s="7" t="s">
        <v>18</v>
      </c>
      <c r="I11" s="11">
        <v>0.0</v>
      </c>
      <c r="K11" s="9">
        <v>0.0</v>
      </c>
      <c r="S11" s="10"/>
    </row>
    <row r="12" ht="12.75" customHeight="1">
      <c r="H12" s="7" t="s">
        <v>19</v>
      </c>
      <c r="I12" s="11">
        <v>0.0</v>
      </c>
      <c r="K12" s="9">
        <v>0.0</v>
      </c>
      <c r="S12" s="10"/>
    </row>
    <row r="13" ht="12.75" customHeight="1">
      <c r="H13" s="7" t="s">
        <v>20</v>
      </c>
      <c r="I13" s="11">
        <v>0.0</v>
      </c>
      <c r="K13" s="9">
        <v>0.0</v>
      </c>
      <c r="S13" s="10"/>
    </row>
    <row r="14" ht="12.75" customHeight="1">
      <c r="H14" s="7" t="s">
        <v>21</v>
      </c>
      <c r="I14" s="11">
        <v>0.0</v>
      </c>
      <c r="K14" s="9">
        <v>0.0</v>
      </c>
      <c r="S14" s="10"/>
    </row>
    <row r="15" ht="12.75" customHeight="1">
      <c r="H15" s="7" t="s">
        <v>22</v>
      </c>
      <c r="I15" s="11">
        <v>0.0</v>
      </c>
      <c r="K15" s="9">
        <v>0.0</v>
      </c>
      <c r="S15" s="10"/>
    </row>
    <row r="16" ht="12.75" customHeight="1">
      <c r="H16" s="7" t="s">
        <v>23</v>
      </c>
      <c r="I16" s="11">
        <v>0.0</v>
      </c>
      <c r="K16" s="9">
        <v>0.0</v>
      </c>
      <c r="S16" s="10"/>
    </row>
    <row r="17" ht="12.75" customHeight="1">
      <c r="H17" s="7" t="s">
        <v>24</v>
      </c>
      <c r="I17" s="11">
        <v>0.0</v>
      </c>
      <c r="J17" t="s">
        <v>6</v>
      </c>
      <c r="K17" s="9">
        <v>0.0</v>
      </c>
      <c r="L17" t="s">
        <v>6</v>
      </c>
      <c r="S17" s="10"/>
    </row>
    <row r="18" ht="12.75" customHeight="1">
      <c r="H18" s="17" t="s">
        <v>25</v>
      </c>
      <c r="I18" s="18">
        <f>I17</f>
        <v>0</v>
      </c>
      <c r="J18" s="19"/>
      <c r="K18" s="18">
        <f>K17</f>
        <v>0</v>
      </c>
      <c r="L18" s="18"/>
      <c r="N18" s="20"/>
      <c r="S18" s="10"/>
    </row>
    <row r="19" ht="13.5" customHeight="1">
      <c r="A19" s="4" t="s">
        <v>26</v>
      </c>
      <c r="E19" s="21">
        <v>0.07</v>
      </c>
      <c r="H19" s="23"/>
      <c r="I19" s="18">
        <f>I17</f>
        <v>0</v>
      </c>
      <c r="J19" s="19"/>
      <c r="K19" s="17">
        <v>0.294</v>
      </c>
      <c r="L19" s="18"/>
      <c r="N19" s="20"/>
      <c r="S19" s="10"/>
    </row>
    <row r="20" ht="13.5" customHeight="1">
      <c r="A20" s="4" t="s">
        <v>28</v>
      </c>
      <c r="E20" s="25">
        <v>0.03</v>
      </c>
      <c r="K20" s="7"/>
      <c r="L20" s="26"/>
      <c r="N20" s="20"/>
      <c r="S20" s="10"/>
    </row>
    <row r="21">
      <c r="A21" s="29" t="s">
        <v>29</v>
      </c>
      <c r="B21" s="31"/>
      <c r="C21" s="31"/>
      <c r="D21" s="31"/>
      <c r="E21" s="32"/>
      <c r="H21" s="32"/>
      <c r="K21" s="7"/>
    </row>
    <row r="22" ht="12.75" customHeight="1">
      <c r="A22" s="33"/>
      <c r="B22" s="34"/>
      <c r="C22" s="34"/>
      <c r="D22" s="36" t="s">
        <v>31</v>
      </c>
      <c r="E22" s="36" t="s">
        <v>33</v>
      </c>
      <c r="F22" s="37" t="s">
        <v>35</v>
      </c>
      <c r="G22" s="38" t="s">
        <v>36</v>
      </c>
      <c r="H22" s="39" t="s">
        <v>37</v>
      </c>
      <c r="I22" s="40" t="s">
        <v>38</v>
      </c>
      <c r="J22" s="41" t="s">
        <v>39</v>
      </c>
      <c r="K22" s="42"/>
      <c r="M22" s="43" t="s">
        <v>33</v>
      </c>
      <c r="N22" s="44" t="s">
        <v>40</v>
      </c>
      <c r="P22" s="46"/>
    </row>
    <row r="23" ht="12.75" customHeight="1">
      <c r="A23" s="48"/>
      <c r="B23" s="7" t="s">
        <v>2</v>
      </c>
      <c r="C23" s="7"/>
      <c r="D23" s="49" t="s">
        <v>43</v>
      </c>
      <c r="E23" s="7" t="s">
        <v>44</v>
      </c>
      <c r="F23" s="52"/>
      <c r="G23" s="53" t="s">
        <v>46</v>
      </c>
      <c r="H23" s="54" t="s">
        <v>46</v>
      </c>
      <c r="I23" s="56" t="s">
        <v>47</v>
      </c>
      <c r="J23" s="58" t="s">
        <v>37</v>
      </c>
      <c r="K23" s="59" t="s">
        <v>33</v>
      </c>
      <c r="M23" s="60"/>
      <c r="N23" s="61" t="s">
        <v>48</v>
      </c>
      <c r="P23" s="7"/>
      <c r="X23" s="20"/>
    </row>
    <row r="24" ht="13.5" customHeight="1">
      <c r="A24" s="62"/>
      <c r="B24" s="63" t="s">
        <v>5</v>
      </c>
      <c r="C24" s="63"/>
      <c r="D24" s="65">
        <f>I4</f>
        <v>0</v>
      </c>
      <c r="E24" s="66">
        <v>13.0</v>
      </c>
      <c r="F24" s="67">
        <f t="shared" ref="F24:F32" si="1">(J25-J24)+F25</f>
        <v>0</v>
      </c>
      <c r="G24" s="68">
        <f t="shared" ref="G24:G34" si="2">J24+$E$19</f>
        <v>0.07</v>
      </c>
      <c r="H24" s="70">
        <f t="shared" ref="H24:H41" si="3">J24+$E$20</f>
        <v>0.03</v>
      </c>
      <c r="I24" s="71">
        <f t="shared" ref="I24:I41" si="4">J24+0.003</f>
        <v>0.003</v>
      </c>
      <c r="J24" s="72">
        <f t="shared" ref="J24:J41" si="5">D24/2</f>
        <v>0</v>
      </c>
      <c r="K24" s="73" t="s">
        <v>49</v>
      </c>
      <c r="M24" s="74" t="s">
        <v>49</v>
      </c>
      <c r="N24" s="75"/>
      <c r="P24" s="76"/>
      <c r="X24" s="20"/>
    </row>
    <row r="25" ht="13.5" customHeight="1">
      <c r="A25" s="77" t="s">
        <v>50</v>
      </c>
      <c r="B25" s="7" t="s">
        <v>9</v>
      </c>
      <c r="C25" s="7"/>
      <c r="D25" s="78">
        <v>3.12</v>
      </c>
      <c r="E25" s="79">
        <v>12.0</v>
      </c>
      <c r="F25" s="80">
        <f t="shared" si="1"/>
        <v>-1.56</v>
      </c>
      <c r="G25" s="81">
        <f t="shared" si="2"/>
        <v>1.63</v>
      </c>
      <c r="H25" s="82">
        <f t="shared" si="3"/>
        <v>1.59</v>
      </c>
      <c r="I25" s="83">
        <f t="shared" si="4"/>
        <v>1.563</v>
      </c>
      <c r="J25" s="85">
        <f t="shared" si="5"/>
        <v>1.56</v>
      </c>
      <c r="K25" s="86" t="s">
        <v>51</v>
      </c>
      <c r="M25" s="87" t="s">
        <v>51</v>
      </c>
      <c r="N25" s="75"/>
      <c r="P25" s="76"/>
      <c r="V25" s="88"/>
      <c r="X25" s="4"/>
    </row>
    <row r="26" ht="13.5" customHeight="1">
      <c r="A26" s="62"/>
      <c r="B26" s="63" t="s">
        <v>13</v>
      </c>
      <c r="C26" s="63"/>
      <c r="D26" s="65">
        <f t="shared" ref="D26:D27" si="6">I6</f>
        <v>0</v>
      </c>
      <c r="E26" s="66">
        <v>11.0</v>
      </c>
      <c r="F26" s="90">
        <f t="shared" si="1"/>
        <v>0</v>
      </c>
      <c r="G26" s="68">
        <f t="shared" si="2"/>
        <v>0.07</v>
      </c>
      <c r="H26" s="70">
        <f t="shared" si="3"/>
        <v>0.03</v>
      </c>
      <c r="I26" s="71">
        <f t="shared" si="4"/>
        <v>0.003</v>
      </c>
      <c r="J26" s="72">
        <f t="shared" si="5"/>
        <v>0</v>
      </c>
      <c r="K26" s="73" t="s">
        <v>52</v>
      </c>
      <c r="M26" s="74" t="s">
        <v>52</v>
      </c>
      <c r="N26" s="75"/>
      <c r="P26" s="76"/>
      <c r="V26" s="91"/>
      <c r="X26" s="4"/>
    </row>
    <row r="27" ht="13.5" customHeight="1">
      <c r="A27" s="48"/>
      <c r="B27" s="7" t="s">
        <v>16</v>
      </c>
      <c r="C27" s="7"/>
      <c r="D27" s="76">
        <f t="shared" si="6"/>
        <v>0</v>
      </c>
      <c r="E27" s="79">
        <v>10.0</v>
      </c>
      <c r="F27" s="80">
        <f t="shared" si="1"/>
        <v>0</v>
      </c>
      <c r="G27" s="81">
        <f t="shared" si="2"/>
        <v>0.07</v>
      </c>
      <c r="H27" s="82">
        <f t="shared" si="3"/>
        <v>0.03</v>
      </c>
      <c r="I27" s="83">
        <f t="shared" si="4"/>
        <v>0.003</v>
      </c>
      <c r="J27" s="85">
        <f t="shared" si="5"/>
        <v>0</v>
      </c>
      <c r="K27" s="86" t="s">
        <v>53</v>
      </c>
      <c r="M27" s="87" t="s">
        <v>53</v>
      </c>
      <c r="N27" s="75"/>
      <c r="P27" s="76"/>
      <c r="V27" s="91"/>
      <c r="X27" s="20"/>
    </row>
    <row r="28" ht="13.5" customHeight="1">
      <c r="A28" s="62"/>
      <c r="B28" s="63" t="s">
        <v>17</v>
      </c>
      <c r="C28" s="63"/>
      <c r="D28" s="65">
        <f t="shared" ref="D28:D33" si="7">I10</f>
        <v>0</v>
      </c>
      <c r="E28" s="66">
        <v>9.0</v>
      </c>
      <c r="F28" s="90">
        <f t="shared" si="1"/>
        <v>0</v>
      </c>
      <c r="G28" s="68">
        <f t="shared" si="2"/>
        <v>0.07</v>
      </c>
      <c r="H28" s="70">
        <f t="shared" si="3"/>
        <v>0.03</v>
      </c>
      <c r="I28" s="71">
        <f t="shared" si="4"/>
        <v>0.003</v>
      </c>
      <c r="J28" s="72">
        <f t="shared" si="5"/>
        <v>0</v>
      </c>
      <c r="K28" s="73" t="s">
        <v>54</v>
      </c>
      <c r="M28" s="74" t="s">
        <v>54</v>
      </c>
      <c r="N28" s="75"/>
      <c r="P28" s="76"/>
      <c r="V28" s="88"/>
    </row>
    <row r="29" ht="13.5" customHeight="1">
      <c r="A29" s="48"/>
      <c r="B29" s="7" t="s">
        <v>18</v>
      </c>
      <c r="C29" s="7"/>
      <c r="D29" s="76">
        <f t="shared" si="7"/>
        <v>0</v>
      </c>
      <c r="E29" s="79">
        <v>8.0</v>
      </c>
      <c r="F29" s="80">
        <f t="shared" si="1"/>
        <v>0</v>
      </c>
      <c r="G29" s="81">
        <f t="shared" si="2"/>
        <v>0.07</v>
      </c>
      <c r="H29" s="82">
        <f t="shared" si="3"/>
        <v>0.03</v>
      </c>
      <c r="I29" s="83">
        <f t="shared" si="4"/>
        <v>0.003</v>
      </c>
      <c r="J29" s="85">
        <f t="shared" si="5"/>
        <v>0</v>
      </c>
      <c r="K29" s="86" t="s">
        <v>55</v>
      </c>
      <c r="M29" s="87" t="s">
        <v>55</v>
      </c>
      <c r="N29" s="75"/>
      <c r="P29" s="76"/>
      <c r="V29" s="91"/>
    </row>
    <row r="30" ht="13.5" customHeight="1">
      <c r="A30" s="62"/>
      <c r="B30" s="63" t="s">
        <v>19</v>
      </c>
      <c r="C30" s="63"/>
      <c r="D30" s="65">
        <f t="shared" si="7"/>
        <v>0</v>
      </c>
      <c r="E30" s="66">
        <v>7.0</v>
      </c>
      <c r="F30" s="90">
        <f t="shared" si="1"/>
        <v>0</v>
      </c>
      <c r="G30" s="68">
        <f t="shared" si="2"/>
        <v>0.07</v>
      </c>
      <c r="H30" s="70">
        <f t="shared" si="3"/>
        <v>0.03</v>
      </c>
      <c r="I30" s="71">
        <f t="shared" si="4"/>
        <v>0.003</v>
      </c>
      <c r="J30" s="72">
        <f t="shared" si="5"/>
        <v>0</v>
      </c>
      <c r="K30" s="73" t="s">
        <v>56</v>
      </c>
      <c r="M30" s="74" t="s">
        <v>56</v>
      </c>
      <c r="N30" s="75"/>
      <c r="P30" s="76"/>
      <c r="V30" s="91"/>
    </row>
    <row r="31" ht="13.5" customHeight="1">
      <c r="A31" s="48"/>
      <c r="B31" s="7" t="s">
        <v>20</v>
      </c>
      <c r="C31" s="7"/>
      <c r="D31" s="76">
        <f t="shared" si="7"/>
        <v>0</v>
      </c>
      <c r="E31" s="79">
        <v>6.0</v>
      </c>
      <c r="F31" s="80">
        <f t="shared" si="1"/>
        <v>0</v>
      </c>
      <c r="G31" s="81">
        <f t="shared" si="2"/>
        <v>0.07</v>
      </c>
      <c r="H31" s="82">
        <f t="shared" si="3"/>
        <v>0.03</v>
      </c>
      <c r="I31" s="83">
        <f t="shared" si="4"/>
        <v>0.003</v>
      </c>
      <c r="J31" s="85">
        <f t="shared" si="5"/>
        <v>0</v>
      </c>
      <c r="K31" s="86" t="s">
        <v>57</v>
      </c>
      <c r="M31" s="87" t="s">
        <v>57</v>
      </c>
      <c r="N31" s="75"/>
      <c r="P31" s="76"/>
      <c r="V31" s="88"/>
    </row>
    <row r="32" ht="13.5" customHeight="1">
      <c r="A32" s="62"/>
      <c r="B32" s="63" t="s">
        <v>21</v>
      </c>
      <c r="C32" s="63"/>
      <c r="D32" s="65">
        <f t="shared" si="7"/>
        <v>0</v>
      </c>
      <c r="E32" s="66">
        <v>5.0</v>
      </c>
      <c r="F32" s="90">
        <f t="shared" si="1"/>
        <v>0</v>
      </c>
      <c r="G32" s="68">
        <f t="shared" si="2"/>
        <v>0.07</v>
      </c>
      <c r="H32" s="70">
        <f t="shared" si="3"/>
        <v>0.03</v>
      </c>
      <c r="I32" s="71">
        <f t="shared" si="4"/>
        <v>0.003</v>
      </c>
      <c r="J32" s="72">
        <f t="shared" si="5"/>
        <v>0</v>
      </c>
      <c r="K32" s="73" t="s">
        <v>58</v>
      </c>
      <c r="M32" s="74" t="s">
        <v>58</v>
      </c>
      <c r="N32" s="75"/>
      <c r="P32" s="76"/>
      <c r="V32" s="91"/>
    </row>
    <row r="33" ht="13.5" customHeight="1">
      <c r="A33" s="94"/>
      <c r="B33" s="7" t="s">
        <v>22</v>
      </c>
      <c r="C33" s="7"/>
      <c r="D33" s="76">
        <f t="shared" si="7"/>
        <v>0</v>
      </c>
      <c r="E33" s="79">
        <v>4.0</v>
      </c>
      <c r="F33" s="80">
        <f>(J38-J33)+F38</f>
        <v>0</v>
      </c>
      <c r="G33" s="81">
        <f t="shared" si="2"/>
        <v>0.07</v>
      </c>
      <c r="H33" s="82">
        <f t="shared" si="3"/>
        <v>0.03</v>
      </c>
      <c r="I33" s="83">
        <f t="shared" si="4"/>
        <v>0.003</v>
      </c>
      <c r="J33" s="85">
        <f t="shared" si="5"/>
        <v>0</v>
      </c>
      <c r="K33" s="86" t="s">
        <v>59</v>
      </c>
      <c r="M33" s="87" t="s">
        <v>59</v>
      </c>
      <c r="N33" s="75"/>
      <c r="O33" s="95"/>
      <c r="P33" s="76"/>
    </row>
    <row r="34" ht="13.5" customHeight="1">
      <c r="A34" s="96"/>
      <c r="B34" s="63" t="s">
        <v>60</v>
      </c>
      <c r="C34" s="63"/>
      <c r="D34" s="65">
        <f>MROUND(((D38-D33)/4)+D33,0.001)</f>
        <v>0</v>
      </c>
      <c r="E34" s="66"/>
      <c r="F34" s="90" t="s">
        <v>61</v>
      </c>
      <c r="G34" s="68">
        <f t="shared" si="2"/>
        <v>0.07</v>
      </c>
      <c r="H34" s="70">
        <f t="shared" si="3"/>
        <v>0.03</v>
      </c>
      <c r="I34" s="71">
        <f t="shared" si="4"/>
        <v>0.003</v>
      </c>
      <c r="J34" s="72">
        <f t="shared" si="5"/>
        <v>0</v>
      </c>
      <c r="K34" s="101"/>
      <c r="M34" s="102"/>
      <c r="N34" s="75"/>
      <c r="P34" s="76"/>
      <c r="V34" s="91"/>
    </row>
    <row r="35" ht="13.5" customHeight="1">
      <c r="A35" s="77"/>
      <c r="B35" s="7" t="s">
        <v>62</v>
      </c>
      <c r="C35" s="7"/>
      <c r="D35" s="76">
        <f>MROUND(((D38-D33)/4)+D34,0.001)</f>
        <v>0</v>
      </c>
      <c r="E35" s="79"/>
      <c r="F35" s="80" t="s">
        <v>61</v>
      </c>
      <c r="G35" s="81">
        <f t="shared" ref="G35:G37" si="8">J35+0.07</f>
        <v>0.07</v>
      </c>
      <c r="H35" s="82">
        <f t="shared" si="3"/>
        <v>0.03</v>
      </c>
      <c r="I35" s="83">
        <f t="shared" si="4"/>
        <v>0.003</v>
      </c>
      <c r="J35" s="85">
        <f t="shared" si="5"/>
        <v>0</v>
      </c>
      <c r="K35" s="106"/>
      <c r="M35" s="94"/>
      <c r="N35" s="75"/>
      <c r="P35" s="107"/>
      <c r="V35" s="88"/>
    </row>
    <row r="36" ht="13.5" customHeight="1">
      <c r="A36" s="96"/>
      <c r="B36" s="63" t="s">
        <v>63</v>
      </c>
      <c r="C36" s="63"/>
      <c r="D36" s="65">
        <f>MROUND(((D38-D33)/4)+D35,0.001)</f>
        <v>0</v>
      </c>
      <c r="E36" s="66"/>
      <c r="F36" s="90" t="s">
        <v>61</v>
      </c>
      <c r="G36" s="68">
        <f t="shared" si="8"/>
        <v>0.07</v>
      </c>
      <c r="H36" s="70">
        <f t="shared" si="3"/>
        <v>0.03</v>
      </c>
      <c r="I36" s="71">
        <f t="shared" si="4"/>
        <v>0.003</v>
      </c>
      <c r="J36" s="72">
        <f t="shared" si="5"/>
        <v>0</v>
      </c>
      <c r="K36" s="101"/>
      <c r="M36" s="102"/>
      <c r="N36" s="75"/>
      <c r="P36" s="76"/>
      <c r="V36" s="7"/>
    </row>
    <row r="37" ht="13.5" customHeight="1">
      <c r="A37" s="94"/>
      <c r="B37" s="7" t="s">
        <v>64</v>
      </c>
      <c r="C37" s="7"/>
      <c r="D37" s="76">
        <f>MROUND(((D38-D33)/4)+D36,0.001)</f>
        <v>0</v>
      </c>
      <c r="E37" s="79"/>
      <c r="F37" s="80" t="s">
        <v>61</v>
      </c>
      <c r="G37" s="81">
        <f t="shared" si="8"/>
        <v>0.07</v>
      </c>
      <c r="H37" s="82">
        <f t="shared" si="3"/>
        <v>0.03</v>
      </c>
      <c r="I37" s="83">
        <f t="shared" si="4"/>
        <v>0.003</v>
      </c>
      <c r="J37" s="85">
        <f t="shared" si="5"/>
        <v>0</v>
      </c>
      <c r="K37" s="106"/>
      <c r="M37" s="94"/>
      <c r="N37" s="75"/>
      <c r="P37" s="76"/>
    </row>
    <row r="38" ht="13.5" customHeight="1">
      <c r="A38" s="96"/>
      <c r="B38" s="63" t="s">
        <v>23</v>
      </c>
      <c r="C38" s="63"/>
      <c r="D38" s="65">
        <f t="shared" ref="D38:D41" si="9">I16</f>
        <v>0</v>
      </c>
      <c r="E38" s="66">
        <v>3.0</v>
      </c>
      <c r="F38" s="90">
        <f t="shared" ref="F38:F40" si="10">(J39-J38)+F39</f>
        <v>0</v>
      </c>
      <c r="G38" s="68">
        <f t="shared" ref="G38:G39" si="11">J38+$E$19</f>
        <v>0.07</v>
      </c>
      <c r="H38" s="70">
        <f t="shared" si="3"/>
        <v>0.03</v>
      </c>
      <c r="I38" s="71">
        <f t="shared" si="4"/>
        <v>0.003</v>
      </c>
      <c r="J38" s="72">
        <f t="shared" si="5"/>
        <v>0</v>
      </c>
      <c r="K38" s="73" t="s">
        <v>65</v>
      </c>
      <c r="M38" s="74" t="s">
        <v>65</v>
      </c>
      <c r="N38" s="75"/>
      <c r="O38" s="95"/>
      <c r="P38" s="76"/>
    </row>
    <row r="39" ht="13.5" customHeight="1">
      <c r="A39" s="94"/>
      <c r="B39" s="7" t="s">
        <v>24</v>
      </c>
      <c r="C39" s="7"/>
      <c r="D39" s="76">
        <f t="shared" si="9"/>
        <v>0</v>
      </c>
      <c r="E39" s="79">
        <v>2.0</v>
      </c>
      <c r="F39" s="80">
        <f t="shared" si="10"/>
        <v>0</v>
      </c>
      <c r="G39" s="81">
        <f t="shared" si="11"/>
        <v>0.07</v>
      </c>
      <c r="H39" s="82">
        <f t="shared" si="3"/>
        <v>0.03</v>
      </c>
      <c r="I39" s="83">
        <f t="shared" si="4"/>
        <v>0.003</v>
      </c>
      <c r="J39" s="85">
        <f t="shared" si="5"/>
        <v>0</v>
      </c>
      <c r="K39" s="86" t="s">
        <v>66</v>
      </c>
      <c r="M39" s="87" t="s">
        <v>66</v>
      </c>
      <c r="N39" s="75"/>
      <c r="P39" s="76"/>
    </row>
    <row r="40" ht="13.5" customHeight="1">
      <c r="A40" s="62"/>
      <c r="B40" s="108" t="s">
        <v>25</v>
      </c>
      <c r="C40" s="108"/>
      <c r="D40" s="109">
        <f t="shared" si="9"/>
        <v>0</v>
      </c>
      <c r="E40" s="66">
        <v>1.0</v>
      </c>
      <c r="F40" s="90">
        <f t="shared" si="10"/>
        <v>0</v>
      </c>
      <c r="G40" s="68">
        <f>G41</f>
        <v>0.07</v>
      </c>
      <c r="H40" s="70">
        <f t="shared" si="3"/>
        <v>0.03</v>
      </c>
      <c r="I40" s="71">
        <f t="shared" si="4"/>
        <v>0.003</v>
      </c>
      <c r="J40" s="72">
        <f t="shared" si="5"/>
        <v>0</v>
      </c>
      <c r="K40" s="73" t="s">
        <v>67</v>
      </c>
      <c r="M40" s="74" t="s">
        <v>67</v>
      </c>
      <c r="N40" s="75"/>
      <c r="P40" s="76"/>
    </row>
    <row r="41" ht="13.5" customHeight="1">
      <c r="A41" s="112"/>
      <c r="B41" s="113" t="s">
        <v>68</v>
      </c>
      <c r="C41" s="113"/>
      <c r="D41" s="114">
        <f t="shared" si="9"/>
        <v>0</v>
      </c>
      <c r="E41" s="115">
        <v>0.0</v>
      </c>
      <c r="F41" s="116">
        <v>0.0</v>
      </c>
      <c r="G41" s="117">
        <f>G39</f>
        <v>0.07</v>
      </c>
      <c r="H41" s="119">
        <f t="shared" si="3"/>
        <v>0.03</v>
      </c>
      <c r="I41" s="121">
        <f t="shared" si="4"/>
        <v>0.003</v>
      </c>
      <c r="J41" s="122">
        <f t="shared" si="5"/>
        <v>0</v>
      </c>
      <c r="K41" s="123" t="s">
        <v>70</v>
      </c>
      <c r="M41" s="124" t="s">
        <v>70</v>
      </c>
      <c r="N41" s="125"/>
      <c r="P41" s="76"/>
    </row>
    <row r="42" ht="12.75" customHeight="1">
      <c r="B42" s="7"/>
      <c r="C42" s="7"/>
      <c r="D42" s="76"/>
      <c r="E42" s="76"/>
      <c r="F42" s="76"/>
      <c r="G42" s="76"/>
      <c r="H42" s="76"/>
      <c r="I42" s="76"/>
      <c r="J42" s="76"/>
      <c r="K42" s="91"/>
      <c r="L42" s="49"/>
      <c r="M42" s="7"/>
      <c r="N42" s="126"/>
      <c r="O42" s="126"/>
      <c r="P42" s="126"/>
      <c r="Q42" s="126"/>
      <c r="R42" s="126"/>
      <c r="S42" s="126"/>
      <c r="T42" s="126"/>
      <c r="U42" s="91"/>
    </row>
    <row r="43" ht="12.75" customHeight="1">
      <c r="A43" s="49"/>
      <c r="B43" s="7"/>
      <c r="C43" s="7"/>
      <c r="D43" s="76"/>
      <c r="E43" s="76"/>
      <c r="F43" s="76"/>
      <c r="G43" s="76"/>
      <c r="H43" s="76"/>
      <c r="I43" s="76"/>
      <c r="J43" s="76"/>
      <c r="K43" s="91"/>
      <c r="L43" s="49"/>
      <c r="M43" s="7"/>
      <c r="N43" s="126"/>
      <c r="O43" s="126"/>
      <c r="P43" s="126"/>
      <c r="Q43" s="126"/>
      <c r="R43" s="126"/>
      <c r="S43" s="126"/>
      <c r="T43" s="126"/>
      <c r="U43" s="91"/>
    </row>
    <row r="44" ht="12.75" customHeight="1">
      <c r="B44" s="7"/>
      <c r="C44" s="7"/>
      <c r="D44" s="76"/>
      <c r="E44" s="76"/>
      <c r="F44" s="76"/>
      <c r="G44" s="76"/>
      <c r="H44" s="76"/>
      <c r="I44" s="76"/>
      <c r="J44" s="76"/>
      <c r="K44" s="91"/>
      <c r="L44" s="49"/>
      <c r="M44" s="7"/>
      <c r="N44" s="126"/>
      <c r="O44" s="126"/>
      <c r="P44" s="126"/>
      <c r="Q44" s="126"/>
      <c r="R44" s="126"/>
      <c r="S44" s="126"/>
      <c r="T44" s="126"/>
      <c r="U44" s="91"/>
    </row>
    <row r="45" ht="12.75" customHeight="1">
      <c r="B45" s="7"/>
      <c r="C45" s="7"/>
      <c r="D45" s="76"/>
      <c r="E45" s="76"/>
      <c r="F45" s="76"/>
      <c r="G45" s="76"/>
      <c r="H45" s="76"/>
      <c r="I45" s="76"/>
      <c r="J45" s="76"/>
      <c r="K45" s="91"/>
      <c r="L45" s="49"/>
      <c r="M45" s="7"/>
      <c r="N45" s="126"/>
      <c r="O45" s="126"/>
      <c r="P45" s="126"/>
      <c r="Q45" s="126"/>
      <c r="R45" s="126"/>
      <c r="S45" s="126"/>
      <c r="T45" s="126"/>
      <c r="U45" s="91"/>
    </row>
    <row r="46">
      <c r="A46" s="127" t="s">
        <v>71</v>
      </c>
      <c r="E46" s="127"/>
      <c r="F46" s="127"/>
      <c r="G46" s="127"/>
      <c r="H46" s="127"/>
      <c r="I46" s="128"/>
    </row>
    <row r="47" ht="12.75" customHeight="1">
      <c r="A47" s="129"/>
      <c r="B47" s="34"/>
      <c r="C47" s="34"/>
      <c r="D47" s="36" t="s">
        <v>31</v>
      </c>
      <c r="E47" s="36" t="s">
        <v>33</v>
      </c>
      <c r="F47" s="37" t="s">
        <v>35</v>
      </c>
      <c r="G47" s="38" t="s">
        <v>36</v>
      </c>
      <c r="H47" s="39" t="s">
        <v>37</v>
      </c>
      <c r="I47" s="40" t="s">
        <v>38</v>
      </c>
      <c r="J47" s="41" t="s">
        <v>39</v>
      </c>
      <c r="K47" s="130"/>
      <c r="M47" s="43" t="s">
        <v>33</v>
      </c>
      <c r="N47" s="44" t="s">
        <v>40</v>
      </c>
    </row>
    <row r="48" ht="12.75" customHeight="1">
      <c r="A48" s="131"/>
      <c r="B48" s="7" t="s">
        <v>3</v>
      </c>
      <c r="C48" s="7"/>
      <c r="D48" s="49" t="s">
        <v>43</v>
      </c>
      <c r="E48" s="7" t="s">
        <v>44</v>
      </c>
      <c r="F48" s="52"/>
      <c r="G48" s="53" t="s">
        <v>46</v>
      </c>
      <c r="H48" s="54" t="s">
        <v>46</v>
      </c>
      <c r="I48" s="56" t="s">
        <v>47</v>
      </c>
      <c r="J48" s="58" t="s">
        <v>37</v>
      </c>
      <c r="K48" s="59" t="s">
        <v>33</v>
      </c>
      <c r="M48" s="60"/>
      <c r="N48" s="61" t="s">
        <v>48</v>
      </c>
    </row>
    <row r="49" ht="12.75" customHeight="1">
      <c r="A49" s="62"/>
      <c r="B49" s="63" t="s">
        <v>5</v>
      </c>
      <c r="C49" s="63"/>
      <c r="D49" s="132">
        <v>0.166</v>
      </c>
      <c r="E49" s="133">
        <v>13.0</v>
      </c>
      <c r="F49" s="134">
        <f t="shared" ref="F49:F59" si="12">(J50-J49)+F50</f>
        <v>0.084</v>
      </c>
      <c r="G49" s="136">
        <f t="shared" ref="G49:G60" si="13">J49+$E$19</f>
        <v>0.153</v>
      </c>
      <c r="H49" s="70">
        <f t="shared" ref="H49:H60" si="14">J49+$E$20</f>
        <v>0.113</v>
      </c>
      <c r="I49" s="71">
        <f t="shared" ref="I49:I62" si="15">J49+0.003</f>
        <v>0.086</v>
      </c>
      <c r="J49" s="72">
        <f t="shared" ref="J49:J62" si="16">D49/2</f>
        <v>0.083</v>
      </c>
      <c r="K49" s="73" t="s">
        <v>49</v>
      </c>
      <c r="M49" s="74" t="s">
        <v>49</v>
      </c>
      <c r="N49" s="137"/>
    </row>
    <row r="50" ht="12.75" customHeight="1">
      <c r="A50" s="77" t="s">
        <v>69</v>
      </c>
      <c r="B50" s="7" t="s">
        <v>9</v>
      </c>
      <c r="C50" s="7"/>
      <c r="D50" s="138">
        <v>0.184</v>
      </c>
      <c r="E50" s="79">
        <v>12.0</v>
      </c>
      <c r="F50" s="134">
        <f t="shared" si="12"/>
        <v>0.075</v>
      </c>
      <c r="G50" s="139">
        <f t="shared" si="13"/>
        <v>0.162</v>
      </c>
      <c r="H50" s="82">
        <f t="shared" si="14"/>
        <v>0.122</v>
      </c>
      <c r="I50" s="83">
        <f t="shared" si="15"/>
        <v>0.095</v>
      </c>
      <c r="J50" s="85">
        <f t="shared" si="16"/>
        <v>0.092</v>
      </c>
      <c r="K50" s="86" t="s">
        <v>51</v>
      </c>
      <c r="M50" s="87" t="s">
        <v>51</v>
      </c>
      <c r="N50" s="137"/>
    </row>
    <row r="51" ht="12.75" customHeight="1">
      <c r="A51" s="62"/>
      <c r="B51" s="63" t="s">
        <v>13</v>
      </c>
      <c r="C51" s="63"/>
      <c r="D51" s="132">
        <v>0.206</v>
      </c>
      <c r="E51" s="133">
        <v>11.0</v>
      </c>
      <c r="F51" s="134">
        <f t="shared" si="12"/>
        <v>0.064</v>
      </c>
      <c r="G51" s="136">
        <f t="shared" si="13"/>
        <v>0.173</v>
      </c>
      <c r="H51" s="70">
        <f t="shared" si="14"/>
        <v>0.133</v>
      </c>
      <c r="I51" s="71">
        <f t="shared" si="15"/>
        <v>0.106</v>
      </c>
      <c r="J51" s="72">
        <f t="shared" si="16"/>
        <v>0.103</v>
      </c>
      <c r="K51" s="73" t="s">
        <v>52</v>
      </c>
      <c r="M51" s="74" t="s">
        <v>52</v>
      </c>
      <c r="N51" s="137"/>
    </row>
    <row r="52" ht="12.75" customHeight="1">
      <c r="A52" s="48"/>
      <c r="B52" s="7" t="s">
        <v>16</v>
      </c>
      <c r="C52" s="7"/>
      <c r="D52" s="138">
        <v>0.214</v>
      </c>
      <c r="E52" s="79">
        <v>10.0</v>
      </c>
      <c r="F52" s="134">
        <f t="shared" si="12"/>
        <v>0.06</v>
      </c>
      <c r="G52" s="139">
        <f t="shared" si="13"/>
        <v>0.177</v>
      </c>
      <c r="H52" s="82">
        <f t="shared" si="14"/>
        <v>0.137</v>
      </c>
      <c r="I52" s="83">
        <f t="shared" si="15"/>
        <v>0.11</v>
      </c>
      <c r="J52" s="85">
        <f t="shared" si="16"/>
        <v>0.107</v>
      </c>
      <c r="K52" s="86" t="s">
        <v>53</v>
      </c>
      <c r="M52" s="87" t="s">
        <v>53</v>
      </c>
      <c r="N52" s="137"/>
    </row>
    <row r="53" ht="12.75" customHeight="1">
      <c r="A53" s="62"/>
      <c r="B53" s="63" t="s">
        <v>17</v>
      </c>
      <c r="C53" s="63"/>
      <c r="D53" s="132">
        <v>0.22</v>
      </c>
      <c r="E53" s="133">
        <v>9.0</v>
      </c>
      <c r="F53" s="134">
        <f t="shared" si="12"/>
        <v>0.057</v>
      </c>
      <c r="G53" s="136">
        <f t="shared" si="13"/>
        <v>0.18</v>
      </c>
      <c r="H53" s="70">
        <f t="shared" si="14"/>
        <v>0.14</v>
      </c>
      <c r="I53" s="71">
        <f t="shared" si="15"/>
        <v>0.113</v>
      </c>
      <c r="J53" s="72">
        <f t="shared" si="16"/>
        <v>0.11</v>
      </c>
      <c r="K53" s="73" t="s">
        <v>54</v>
      </c>
      <c r="M53" s="74" t="s">
        <v>54</v>
      </c>
      <c r="N53" s="137"/>
    </row>
    <row r="54" ht="12.75" customHeight="1">
      <c r="A54" s="48"/>
      <c r="B54" s="7" t="s">
        <v>18</v>
      </c>
      <c r="C54" s="7"/>
      <c r="D54" s="138">
        <v>0.244</v>
      </c>
      <c r="E54" s="79">
        <v>8.0</v>
      </c>
      <c r="F54" s="134">
        <f t="shared" si="12"/>
        <v>0.045</v>
      </c>
      <c r="G54" s="139">
        <f t="shared" si="13"/>
        <v>0.192</v>
      </c>
      <c r="H54" s="82">
        <f t="shared" si="14"/>
        <v>0.152</v>
      </c>
      <c r="I54" s="83">
        <f t="shared" si="15"/>
        <v>0.125</v>
      </c>
      <c r="J54" s="85">
        <f t="shared" si="16"/>
        <v>0.122</v>
      </c>
      <c r="K54" s="86" t="s">
        <v>55</v>
      </c>
      <c r="M54" s="87" t="s">
        <v>55</v>
      </c>
      <c r="N54" s="137"/>
    </row>
    <row r="55" ht="12.75" customHeight="1">
      <c r="A55" s="62"/>
      <c r="B55" s="63" t="s">
        <v>19</v>
      </c>
      <c r="C55" s="63"/>
      <c r="D55" s="132">
        <v>0.258</v>
      </c>
      <c r="E55" s="133">
        <v>7.0</v>
      </c>
      <c r="F55" s="134">
        <f t="shared" si="12"/>
        <v>0.038</v>
      </c>
      <c r="G55" s="136">
        <f t="shared" si="13"/>
        <v>0.199</v>
      </c>
      <c r="H55" s="70">
        <f t="shared" si="14"/>
        <v>0.159</v>
      </c>
      <c r="I55" s="71">
        <f t="shared" si="15"/>
        <v>0.132</v>
      </c>
      <c r="J55" s="72">
        <f t="shared" si="16"/>
        <v>0.129</v>
      </c>
      <c r="K55" s="73" t="s">
        <v>56</v>
      </c>
      <c r="M55" s="74" t="s">
        <v>56</v>
      </c>
      <c r="N55" s="137"/>
    </row>
    <row r="56" ht="12.75" customHeight="1">
      <c r="A56" s="48"/>
      <c r="B56" s="7" t="s">
        <v>20</v>
      </c>
      <c r="C56" s="7"/>
      <c r="D56" s="138">
        <v>0.272</v>
      </c>
      <c r="E56" s="79">
        <v>6.0</v>
      </c>
      <c r="F56" s="134">
        <f t="shared" si="12"/>
        <v>0.031</v>
      </c>
      <c r="G56" s="139">
        <f t="shared" si="13"/>
        <v>0.206</v>
      </c>
      <c r="H56" s="82">
        <f t="shared" si="14"/>
        <v>0.166</v>
      </c>
      <c r="I56" s="83">
        <f t="shared" si="15"/>
        <v>0.139</v>
      </c>
      <c r="J56" s="85">
        <f t="shared" si="16"/>
        <v>0.136</v>
      </c>
      <c r="K56" s="86" t="s">
        <v>57</v>
      </c>
      <c r="M56" s="87" t="s">
        <v>57</v>
      </c>
      <c r="N56" s="137"/>
    </row>
    <row r="57" ht="12.75" customHeight="1">
      <c r="A57" s="62"/>
      <c r="B57" s="63" t="s">
        <v>21</v>
      </c>
      <c r="C57" s="63"/>
      <c r="D57" s="132">
        <v>0.298</v>
      </c>
      <c r="E57" s="133">
        <v>5.0</v>
      </c>
      <c r="F57" s="134">
        <f t="shared" si="12"/>
        <v>0.018</v>
      </c>
      <c r="G57" s="136">
        <f t="shared" si="13"/>
        <v>0.219</v>
      </c>
      <c r="H57" s="70">
        <f t="shared" si="14"/>
        <v>0.179</v>
      </c>
      <c r="I57" s="71">
        <f t="shared" si="15"/>
        <v>0.152</v>
      </c>
      <c r="J57" s="72">
        <f t="shared" si="16"/>
        <v>0.149</v>
      </c>
      <c r="K57" s="73" t="s">
        <v>58</v>
      </c>
      <c r="M57" s="74" t="s">
        <v>58</v>
      </c>
      <c r="N57" s="137"/>
    </row>
    <row r="58" ht="12.75" customHeight="1">
      <c r="A58" s="48"/>
      <c r="B58" s="7" t="s">
        <v>22</v>
      </c>
      <c r="C58" s="7"/>
      <c r="D58" s="138">
        <v>0.316</v>
      </c>
      <c r="E58" s="79">
        <v>4.0</v>
      </c>
      <c r="F58" s="134">
        <f t="shared" si="12"/>
        <v>0.009</v>
      </c>
      <c r="G58" s="139">
        <f t="shared" si="13"/>
        <v>0.228</v>
      </c>
      <c r="H58" s="82">
        <f t="shared" si="14"/>
        <v>0.188</v>
      </c>
      <c r="I58" s="83">
        <f t="shared" si="15"/>
        <v>0.161</v>
      </c>
      <c r="J58" s="85">
        <f t="shared" si="16"/>
        <v>0.158</v>
      </c>
      <c r="K58" s="86" t="s">
        <v>59</v>
      </c>
      <c r="M58" s="87" t="s">
        <v>59</v>
      </c>
      <c r="N58" s="137"/>
    </row>
    <row r="59" ht="12.75" customHeight="1">
      <c r="A59" s="62"/>
      <c r="B59" s="63" t="s">
        <v>23</v>
      </c>
      <c r="C59" s="63"/>
      <c r="D59" s="132">
        <v>0.334</v>
      </c>
      <c r="E59" s="133">
        <v>3.0</v>
      </c>
      <c r="F59" s="134">
        <f t="shared" si="12"/>
        <v>0</v>
      </c>
      <c r="G59" s="136">
        <f t="shared" si="13"/>
        <v>0.237</v>
      </c>
      <c r="H59" s="70">
        <f t="shared" si="14"/>
        <v>0.197</v>
      </c>
      <c r="I59" s="71">
        <f t="shared" si="15"/>
        <v>0.17</v>
      </c>
      <c r="J59" s="72">
        <f t="shared" si="16"/>
        <v>0.167</v>
      </c>
      <c r="K59" s="73" t="s">
        <v>65</v>
      </c>
      <c r="M59" s="74" t="s">
        <v>65</v>
      </c>
      <c r="N59" s="137"/>
    </row>
    <row r="60" ht="12.75" customHeight="1">
      <c r="A60" s="48"/>
      <c r="B60" s="7" t="s">
        <v>24</v>
      </c>
      <c r="C60" s="7"/>
      <c r="D60" s="138">
        <v>0.334</v>
      </c>
      <c r="E60" s="79">
        <v>2.0</v>
      </c>
      <c r="F60" s="134">
        <v>0.0</v>
      </c>
      <c r="G60" s="139">
        <f t="shared" si="13"/>
        <v>0.237</v>
      </c>
      <c r="H60" s="82">
        <f t="shared" si="14"/>
        <v>0.197</v>
      </c>
      <c r="I60" s="83">
        <f t="shared" si="15"/>
        <v>0.17</v>
      </c>
      <c r="J60" s="85">
        <f t="shared" si="16"/>
        <v>0.167</v>
      </c>
      <c r="K60" s="86" t="s">
        <v>66</v>
      </c>
      <c r="M60" s="87" t="s">
        <v>66</v>
      </c>
      <c r="N60" s="137"/>
    </row>
    <row r="61" ht="12.75" customHeight="1">
      <c r="A61" s="62"/>
      <c r="B61" s="63"/>
      <c r="C61" s="63"/>
      <c r="D61" s="154">
        <f>K17</f>
        <v>0</v>
      </c>
      <c r="E61" s="133">
        <v>1.0</v>
      </c>
      <c r="F61" s="134">
        <f>(J62-J61)+F62</f>
        <v>0</v>
      </c>
      <c r="G61" s="136">
        <f>G62</f>
        <v>0.237</v>
      </c>
      <c r="H61" s="70">
        <f t="shared" ref="H61:H62" si="17">H60</f>
        <v>0.197</v>
      </c>
      <c r="I61" s="71">
        <f t="shared" si="15"/>
        <v>0.003</v>
      </c>
      <c r="J61" s="72">
        <f t="shared" si="16"/>
        <v>0</v>
      </c>
      <c r="K61" s="73" t="s">
        <v>67</v>
      </c>
      <c r="M61" s="74" t="s">
        <v>67</v>
      </c>
      <c r="N61" s="137"/>
    </row>
    <row r="62" ht="13.5" customHeight="1">
      <c r="A62" s="112"/>
      <c r="B62" s="142"/>
      <c r="C62" s="142"/>
      <c r="D62" s="143">
        <f>K17</f>
        <v>0</v>
      </c>
      <c r="E62" s="115">
        <v>0.0</v>
      </c>
      <c r="F62" s="144">
        <v>0.0</v>
      </c>
      <c r="G62" s="145">
        <f>G60</f>
        <v>0.237</v>
      </c>
      <c r="H62" s="119">
        <f t="shared" si="17"/>
        <v>0.197</v>
      </c>
      <c r="I62" s="121">
        <f t="shared" si="15"/>
        <v>0.003</v>
      </c>
      <c r="J62" s="146">
        <f t="shared" si="16"/>
        <v>0</v>
      </c>
      <c r="K62" s="123" t="s">
        <v>70</v>
      </c>
      <c r="M62" s="124" t="s">
        <v>70</v>
      </c>
      <c r="N62" s="147"/>
    </row>
    <row r="63" ht="12.75" customHeight="1">
      <c r="A63" s="95"/>
      <c r="B63" s="88"/>
      <c r="C63" s="88"/>
      <c r="D63" s="126"/>
      <c r="E63" s="148"/>
      <c r="F63" s="149"/>
      <c r="G63" s="79"/>
      <c r="H63" s="150"/>
      <c r="I63" s="95"/>
      <c r="J63" s="152"/>
      <c r="K63" s="91"/>
    </row>
    <row r="64" ht="12.75" customHeight="1">
      <c r="A64" s="95"/>
      <c r="B64" s="88"/>
      <c r="C64" s="88"/>
      <c r="D64" s="126"/>
      <c r="E64" s="148"/>
      <c r="F64" s="149"/>
      <c r="G64" s="79"/>
      <c r="H64" s="150"/>
      <c r="I64" s="126"/>
      <c r="J64" s="152"/>
      <c r="K64" s="91"/>
    </row>
    <row r="65" ht="12.75" customHeight="1">
      <c r="A65" s="49"/>
      <c r="B65" s="7"/>
      <c r="C65" s="7"/>
      <c r="D65" s="126"/>
      <c r="E65" s="148"/>
      <c r="F65" s="149"/>
      <c r="G65" s="79"/>
      <c r="H65" s="150"/>
      <c r="I65" s="126"/>
      <c r="J65" s="152"/>
      <c r="K65" s="91"/>
    </row>
    <row r="66" ht="12.75" customHeight="1">
      <c r="A66" s="49"/>
      <c r="B66" s="7"/>
      <c r="C66" s="7"/>
      <c r="D66" s="126"/>
      <c r="E66" s="148"/>
      <c r="F66" s="149"/>
      <c r="G66" s="79"/>
      <c r="H66" s="150"/>
      <c r="I66" s="126"/>
      <c r="J66" s="152"/>
      <c r="K66" s="91"/>
      <c r="N66" s="49"/>
      <c r="U66" s="156"/>
    </row>
    <row r="67" ht="12.75" customHeight="1">
      <c r="A67" s="5"/>
      <c r="B67" s="156"/>
      <c r="C67" s="156"/>
      <c r="E67" s="49"/>
      <c r="F67" s="49"/>
      <c r="G67" s="49"/>
      <c r="H67" s="49"/>
      <c r="K67" s="157"/>
      <c r="N67" s="49"/>
      <c r="U67" s="157"/>
    </row>
    <row r="68" ht="12.75" customHeight="1">
      <c r="A68" s="5"/>
      <c r="B68" s="158"/>
      <c r="C68" s="158"/>
      <c r="N68" s="49"/>
      <c r="U68" s="157"/>
    </row>
    <row r="69" ht="12.75" customHeight="1">
      <c r="A69" s="5"/>
      <c r="B69" s="159"/>
      <c r="C69" s="159"/>
      <c r="E69" s="49"/>
      <c r="F69" s="49"/>
      <c r="G69" s="49"/>
      <c r="H69" s="49"/>
      <c r="L69" s="156"/>
      <c r="N69" s="49"/>
      <c r="U69" s="157"/>
    </row>
    <row r="70" ht="12.75" customHeight="1">
      <c r="A70" s="5"/>
      <c r="B70" s="157"/>
      <c r="C70" s="157"/>
      <c r="E70" s="49"/>
      <c r="F70" s="49"/>
      <c r="G70" s="49"/>
      <c r="H70" s="49"/>
      <c r="L70" s="156"/>
    </row>
    <row r="71" ht="12.75" customHeight="1">
      <c r="A71" s="5"/>
      <c r="B71" s="160"/>
      <c r="C71" s="160"/>
      <c r="N71" s="91"/>
      <c r="O71" s="5"/>
      <c r="P71" s="5"/>
      <c r="Q71" s="5"/>
      <c r="R71" s="5"/>
      <c r="S71" s="91"/>
      <c r="T71" s="46"/>
    </row>
    <row r="72" ht="12.75" customHeight="1">
      <c r="A72" s="91"/>
      <c r="B72" s="7"/>
      <c r="C72" s="7"/>
      <c r="D72" s="46"/>
      <c r="E72" s="46"/>
      <c r="F72" s="46"/>
      <c r="G72" s="46"/>
      <c r="H72" s="46"/>
      <c r="I72" s="91"/>
      <c r="J72" s="91"/>
      <c r="K72" s="91"/>
      <c r="L72" s="91"/>
      <c r="N72" s="91"/>
      <c r="O72" s="49"/>
      <c r="P72" s="49"/>
      <c r="Q72" s="49"/>
      <c r="R72" s="49"/>
      <c r="S72" s="46"/>
      <c r="U72" s="46"/>
      <c r="V72" s="7"/>
    </row>
    <row r="73" ht="12.75" customHeight="1">
      <c r="A73" s="7"/>
      <c r="B73" s="128"/>
      <c r="C73" s="128"/>
      <c r="E73" s="7"/>
      <c r="F73" s="7"/>
      <c r="G73" s="7"/>
      <c r="H73" s="7"/>
      <c r="I73" s="7"/>
      <c r="J73" s="7"/>
      <c r="K73" s="7"/>
      <c r="L73" s="7"/>
      <c r="N73" s="7"/>
      <c r="S73" s="7"/>
      <c r="T73" s="7"/>
      <c r="U73" s="7"/>
      <c r="V73" s="7"/>
    </row>
    <row r="74" ht="12.75" customHeight="1">
      <c r="A74" s="7"/>
      <c r="B74" s="10"/>
      <c r="C74" s="10"/>
      <c r="D74" s="76"/>
      <c r="E74" s="162"/>
      <c r="F74" s="162"/>
      <c r="G74" s="162"/>
      <c r="H74" s="162"/>
      <c r="I74" s="162"/>
      <c r="J74" s="162"/>
      <c r="K74" s="91"/>
      <c r="L74" s="91"/>
      <c r="N74" s="7"/>
      <c r="O74" s="10"/>
      <c r="P74" s="10"/>
      <c r="Q74" s="10"/>
      <c r="R74" s="10"/>
      <c r="S74" s="162"/>
      <c r="T74" s="162"/>
      <c r="U74" s="162"/>
      <c r="V74" s="91"/>
    </row>
    <row r="75" ht="12.75" customHeight="1">
      <c r="A75" s="7"/>
      <c r="B75" s="10"/>
      <c r="C75" s="10"/>
      <c r="D75" s="76"/>
      <c r="E75" s="162"/>
      <c r="F75" s="162"/>
      <c r="G75" s="162"/>
      <c r="H75" s="162"/>
      <c r="I75" s="162"/>
      <c r="J75" s="162"/>
      <c r="K75" s="91"/>
      <c r="L75" s="88"/>
      <c r="N75" s="7"/>
      <c r="O75" s="10"/>
      <c r="P75" s="10"/>
      <c r="Q75" s="10"/>
      <c r="R75" s="10"/>
      <c r="S75" s="162"/>
      <c r="T75" s="162"/>
      <c r="U75" s="162"/>
      <c r="V75" s="91"/>
      <c r="W75" s="88"/>
    </row>
    <row r="76" ht="12.75" customHeight="1">
      <c r="A76" s="7"/>
      <c r="B76" s="10"/>
      <c r="C76" s="10"/>
      <c r="D76" s="76"/>
      <c r="E76" s="162"/>
      <c r="F76" s="162"/>
      <c r="G76" s="162"/>
      <c r="H76" s="162"/>
      <c r="I76" s="162"/>
      <c r="J76" s="162"/>
      <c r="K76" s="91"/>
      <c r="L76" s="91"/>
      <c r="N76" s="7"/>
      <c r="O76" s="10"/>
      <c r="P76" s="10"/>
      <c r="Q76" s="10"/>
      <c r="R76" s="10"/>
      <c r="S76" s="162"/>
      <c r="T76" s="162"/>
      <c r="U76" s="162"/>
      <c r="V76" s="91"/>
      <c r="W76" s="91"/>
    </row>
    <row r="77" ht="12.75" customHeight="1">
      <c r="A77" s="7"/>
      <c r="B77" s="10"/>
      <c r="C77" s="10"/>
      <c r="D77" s="76"/>
      <c r="E77" s="162"/>
      <c r="F77" s="162"/>
      <c r="G77" s="162"/>
      <c r="H77" s="162"/>
      <c r="I77" s="162"/>
      <c r="J77" s="162"/>
      <c r="K77" s="91"/>
      <c r="L77" s="91"/>
      <c r="N77" s="7"/>
      <c r="O77" s="10"/>
      <c r="P77" s="10"/>
      <c r="Q77" s="10"/>
      <c r="R77" s="10"/>
      <c r="S77" s="162"/>
      <c r="T77" s="162"/>
      <c r="U77" s="162"/>
      <c r="V77" s="91"/>
      <c r="W77" s="91"/>
    </row>
    <row r="78" ht="12.75" customHeight="1">
      <c r="A78" s="7"/>
      <c r="B78" s="10"/>
      <c r="C78" s="10"/>
      <c r="D78" s="76"/>
      <c r="E78" s="162"/>
      <c r="F78" s="162"/>
      <c r="G78" s="162"/>
      <c r="H78" s="162"/>
      <c r="I78" s="162"/>
      <c r="J78" s="162"/>
      <c r="K78" s="91"/>
      <c r="L78" s="88"/>
      <c r="N78" s="7"/>
      <c r="O78" s="10"/>
      <c r="P78" s="10"/>
      <c r="Q78" s="10"/>
      <c r="R78" s="10"/>
      <c r="S78" s="162"/>
      <c r="T78" s="162"/>
      <c r="U78" s="162"/>
      <c r="V78" s="91"/>
      <c r="W78" s="88"/>
    </row>
    <row r="79" ht="12.75" customHeight="1">
      <c r="A79" s="7"/>
      <c r="B79" s="10"/>
      <c r="C79" s="10"/>
      <c r="D79" s="76"/>
      <c r="E79" s="162"/>
      <c r="F79" s="162"/>
      <c r="G79" s="162"/>
      <c r="H79" s="162"/>
      <c r="I79" s="162"/>
      <c r="J79" s="162"/>
      <c r="K79" s="91"/>
      <c r="L79" s="91"/>
      <c r="N79" s="7"/>
      <c r="O79" s="10"/>
      <c r="P79" s="10"/>
      <c r="Q79" s="10"/>
      <c r="R79" s="10"/>
      <c r="S79" s="162"/>
      <c r="T79" s="162"/>
      <c r="U79" s="162"/>
      <c r="V79" s="91"/>
      <c r="W79" s="91"/>
    </row>
    <row r="80" ht="12.75" customHeight="1">
      <c r="A80" s="7"/>
      <c r="B80" s="10"/>
      <c r="C80" s="10"/>
      <c r="D80" s="76"/>
      <c r="E80" s="162"/>
      <c r="F80" s="162"/>
      <c r="G80" s="162"/>
      <c r="H80" s="162"/>
      <c r="I80" s="162"/>
      <c r="J80" s="162"/>
      <c r="K80" s="91"/>
      <c r="L80" s="91"/>
      <c r="N80" s="7"/>
      <c r="O80" s="10"/>
      <c r="P80" s="10"/>
      <c r="Q80" s="10"/>
      <c r="R80" s="10"/>
      <c r="S80" s="162"/>
      <c r="T80" s="162"/>
      <c r="U80" s="162"/>
      <c r="V80" s="91"/>
      <c r="W80" s="91"/>
    </row>
    <row r="81" ht="12.75" customHeight="1">
      <c r="A81" s="7"/>
      <c r="B81" s="10"/>
      <c r="C81" s="10"/>
      <c r="D81" s="76"/>
      <c r="E81" s="162"/>
      <c r="F81" s="162"/>
      <c r="G81" s="162"/>
      <c r="H81" s="162"/>
      <c r="I81" s="162"/>
      <c r="J81" s="162"/>
      <c r="K81" s="91"/>
      <c r="L81" s="163"/>
      <c r="N81" s="7"/>
      <c r="O81" s="10"/>
      <c r="P81" s="10"/>
      <c r="Q81" s="10"/>
      <c r="R81" s="10"/>
      <c r="S81" s="162"/>
      <c r="T81" s="162"/>
      <c r="U81" s="162"/>
      <c r="V81" s="91"/>
      <c r="W81" s="88"/>
    </row>
    <row r="82" ht="12.75" customHeight="1">
      <c r="A82" s="7"/>
      <c r="B82" s="10"/>
      <c r="C82" s="10"/>
      <c r="D82" s="76"/>
      <c r="E82" s="162"/>
      <c r="F82" s="162"/>
      <c r="G82" s="162"/>
      <c r="H82" s="162"/>
      <c r="I82" s="162"/>
      <c r="J82" s="162"/>
      <c r="K82" s="91"/>
      <c r="L82" s="91"/>
      <c r="N82" s="7"/>
      <c r="O82" s="10"/>
      <c r="P82" s="10"/>
      <c r="Q82" s="10"/>
      <c r="R82" s="10"/>
      <c r="S82" s="162"/>
      <c r="T82" s="162"/>
      <c r="U82" s="162"/>
      <c r="V82" s="91"/>
      <c r="W82" s="91"/>
    </row>
    <row r="83" ht="12.75" customHeight="1">
      <c r="A83" s="7"/>
      <c r="B83" s="10"/>
      <c r="C83" s="10"/>
      <c r="D83" s="10"/>
      <c r="E83" s="162"/>
      <c r="F83" s="162"/>
      <c r="G83" s="162"/>
      <c r="H83" s="162"/>
      <c r="I83" s="162"/>
      <c r="J83" s="162"/>
      <c r="K83" s="91"/>
      <c r="N83" s="7"/>
      <c r="O83" s="10"/>
      <c r="P83" s="10"/>
      <c r="Q83" s="10"/>
      <c r="R83" s="10"/>
      <c r="S83" s="162"/>
      <c r="T83" s="162"/>
      <c r="U83" s="162"/>
      <c r="V83" s="91"/>
    </row>
    <row r="84" ht="12.75" customHeight="1">
      <c r="A84" s="7"/>
      <c r="B84" s="10"/>
      <c r="C84" s="10"/>
      <c r="D84" s="10"/>
      <c r="E84" s="162"/>
      <c r="F84" s="162"/>
      <c r="G84" s="162"/>
      <c r="H84" s="162"/>
      <c r="I84" s="162"/>
      <c r="J84" s="162"/>
      <c r="K84" s="91"/>
      <c r="L84" s="88"/>
      <c r="N84" s="7"/>
      <c r="O84" s="10"/>
      <c r="P84" s="10"/>
      <c r="Q84" s="10"/>
      <c r="R84" s="10"/>
      <c r="S84" s="162"/>
      <c r="T84" s="162"/>
      <c r="U84" s="162"/>
      <c r="V84" s="91"/>
      <c r="W84" s="91"/>
    </row>
    <row r="85" ht="12.75" customHeight="1">
      <c r="A85" s="7"/>
      <c r="D85" s="10"/>
      <c r="E85" s="162"/>
      <c r="F85" s="162"/>
      <c r="G85" s="162"/>
      <c r="H85" s="162"/>
      <c r="L85" s="91"/>
      <c r="N85" s="7"/>
      <c r="O85" s="10"/>
      <c r="P85" s="10"/>
      <c r="Q85" s="10"/>
      <c r="R85" s="10"/>
      <c r="S85" s="162"/>
      <c r="T85" s="162"/>
      <c r="U85" s="162"/>
      <c r="V85" s="91"/>
      <c r="W85" s="88"/>
    </row>
    <row r="86" ht="12.75" customHeight="1">
      <c r="A86" s="7"/>
      <c r="D86" s="10"/>
      <c r="E86" s="162"/>
      <c r="F86" s="162"/>
      <c r="G86" s="162"/>
      <c r="H86" s="162"/>
      <c r="K86" s="7"/>
      <c r="L86" s="7"/>
      <c r="N86" s="7"/>
      <c r="O86" s="76"/>
      <c r="P86" s="76"/>
      <c r="Q86" s="76"/>
      <c r="R86" s="76"/>
      <c r="S86" s="162"/>
      <c r="T86" s="162"/>
      <c r="U86" s="162"/>
      <c r="V86" s="7"/>
      <c r="W86" s="7"/>
    </row>
    <row r="87" ht="12.75" customHeight="1">
      <c r="A87" s="7"/>
      <c r="D87" s="10"/>
      <c r="E87" s="162"/>
      <c r="F87" s="162"/>
      <c r="G87" s="162"/>
      <c r="H87" s="162"/>
      <c r="K87" s="7"/>
      <c r="L87" s="7"/>
    </row>
    <row r="88" ht="12.75" customHeight="1">
      <c r="A88" s="7"/>
      <c r="D88" s="10"/>
      <c r="E88" s="162"/>
      <c r="F88" s="162"/>
      <c r="G88" s="162"/>
      <c r="H88" s="162"/>
    </row>
    <row r="89" ht="12.75" customHeight="1">
      <c r="A89" s="7"/>
      <c r="B89" s="10"/>
      <c r="C89" s="10"/>
      <c r="D89" s="76"/>
      <c r="E89" s="162"/>
      <c r="F89" s="162"/>
      <c r="G89" s="162"/>
      <c r="H89" s="162"/>
      <c r="I89" s="162"/>
      <c r="J89" s="162"/>
    </row>
    <row r="90" ht="12.75" customHeight="1">
      <c r="A90" s="7"/>
      <c r="B90" s="128"/>
      <c r="C90" s="128"/>
      <c r="D90" s="76"/>
      <c r="E90" s="162"/>
      <c r="F90" s="162"/>
      <c r="G90" s="162"/>
      <c r="H90" s="162"/>
      <c r="I90" s="162"/>
      <c r="J90" s="162"/>
    </row>
    <row r="91" ht="12.75" customHeight="1">
      <c r="A91" s="7"/>
      <c r="B91" s="128"/>
      <c r="C91" s="128"/>
      <c r="D91" s="76"/>
      <c r="E91" s="162"/>
      <c r="F91" s="162"/>
      <c r="G91" s="162"/>
      <c r="H91" s="162"/>
      <c r="I91" s="162"/>
      <c r="J91" s="162"/>
    </row>
    <row r="92" ht="12.75" customHeight="1">
      <c r="A92" s="7"/>
      <c r="B92" s="128"/>
      <c r="C92" s="128"/>
      <c r="D92" s="76"/>
      <c r="E92" s="162"/>
      <c r="F92" s="162"/>
      <c r="G92" s="162"/>
      <c r="H92" s="162"/>
      <c r="I92" s="162"/>
      <c r="J92" s="162"/>
    </row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4">
    <mergeCell ref="A19:D19"/>
    <mergeCell ref="A20:D20"/>
    <mergeCell ref="A21:D21"/>
    <mergeCell ref="A46:D46"/>
  </mergeCells>
  <printOptions/>
  <pageMargins bottom="0.75" footer="0.0" header="0.0" left="0.7" right="0.7" top="0.75"/>
  <pageSetup scale="90"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3" width="8.5"/>
    <col customWidth="1" min="4" max="4" width="10.25"/>
    <col customWidth="1" min="5" max="5" width="7.0"/>
    <col customWidth="1" min="6" max="6" width="8.13"/>
    <col customWidth="1" min="7" max="7" width="8.88"/>
    <col customWidth="1" min="8" max="8" width="7.25"/>
    <col customWidth="1" min="9" max="9" width="7.0"/>
    <col customWidth="1" min="10" max="10" width="7.88"/>
    <col customWidth="1" min="11" max="11" width="8.0"/>
    <col customWidth="1" min="12" max="12" width="8.13"/>
    <col customWidth="1" min="13" max="13" width="7.0"/>
    <col customWidth="1" min="14" max="14" width="11.25"/>
    <col customWidth="1" min="15" max="27" width="7.0"/>
  </cols>
  <sheetData>
    <row r="1">
      <c r="A1" s="1"/>
      <c r="H1" s="2" t="s">
        <v>0</v>
      </c>
      <c r="J1" s="3"/>
    </row>
    <row r="2" ht="12.75" customHeight="1">
      <c r="A2" t="s">
        <v>1</v>
      </c>
    </row>
    <row r="3" ht="12.75" customHeight="1">
      <c r="H3" s="4" t="s">
        <v>2</v>
      </c>
      <c r="I3" s="4"/>
      <c r="J3" s="4"/>
      <c r="K3" s="4" t="s">
        <v>3</v>
      </c>
    </row>
    <row r="4" ht="12.75" customHeight="1">
      <c r="A4" s="5" t="s">
        <v>4</v>
      </c>
      <c r="B4" s="6">
        <v>8.0</v>
      </c>
      <c r="C4" s="6"/>
      <c r="H4" s="7" t="s">
        <v>5</v>
      </c>
      <c r="I4" s="8">
        <v>0.081</v>
      </c>
      <c r="J4" t="s">
        <v>6</v>
      </c>
      <c r="K4" s="9">
        <v>0.268</v>
      </c>
      <c r="L4" t="s">
        <v>6</v>
      </c>
      <c r="S4" s="10"/>
    </row>
    <row r="5" ht="12.75" customHeight="1">
      <c r="A5" s="5" t="s">
        <v>8</v>
      </c>
      <c r="B5" s="6">
        <v>6.0</v>
      </c>
      <c r="C5" s="6"/>
      <c r="H5" s="7" t="s">
        <v>9</v>
      </c>
      <c r="I5" s="8">
        <v>0.093</v>
      </c>
      <c r="K5" s="9">
        <v>0.27</v>
      </c>
      <c r="S5" s="10"/>
    </row>
    <row r="6" ht="12.75" customHeight="1">
      <c r="A6" s="5" t="s">
        <v>10</v>
      </c>
      <c r="B6" s="12" t="s">
        <v>11</v>
      </c>
      <c r="C6" s="12"/>
      <c r="H6" s="7" t="s">
        <v>13</v>
      </c>
      <c r="I6" s="8">
        <v>0.105</v>
      </c>
      <c r="K6" s="9">
        <v>0.272</v>
      </c>
      <c r="M6" s="15">
        <v>55.0</v>
      </c>
      <c r="N6" s="9">
        <v>0.272</v>
      </c>
      <c r="S6" s="10"/>
    </row>
    <row r="7" ht="12.75" customHeight="1">
      <c r="A7" s="5" t="s">
        <v>14</v>
      </c>
      <c r="B7" s="13">
        <v>0.215</v>
      </c>
      <c r="C7" s="13"/>
      <c r="H7" s="7" t="s">
        <v>16</v>
      </c>
      <c r="I7" s="8">
        <v>0.121</v>
      </c>
      <c r="K7" s="9">
        <v>0.279</v>
      </c>
      <c r="M7" s="15">
        <v>60.0</v>
      </c>
      <c r="N7" s="9">
        <v>0.279</v>
      </c>
      <c r="S7" s="10"/>
    </row>
    <row r="8" ht="12.75" customHeight="1">
      <c r="C8" s="14"/>
      <c r="H8" s="7"/>
      <c r="I8" s="11"/>
      <c r="K8" s="16"/>
      <c r="N8" s="16"/>
      <c r="S8" s="10"/>
    </row>
    <row r="9" ht="12.75" customHeight="1">
      <c r="H9" s="7"/>
      <c r="I9" s="11"/>
      <c r="K9" s="9"/>
      <c r="N9" s="9"/>
      <c r="S9" s="10"/>
    </row>
    <row r="10" ht="12.75" customHeight="1">
      <c r="H10" s="7" t="s">
        <v>17</v>
      </c>
      <c r="I10" s="8">
        <v>0.139</v>
      </c>
      <c r="K10" s="9">
        <v>0.29</v>
      </c>
      <c r="M10" s="15">
        <v>65.0</v>
      </c>
      <c r="N10" s="9">
        <v>0.29</v>
      </c>
      <c r="S10" s="10"/>
    </row>
    <row r="11" ht="12.75" customHeight="1">
      <c r="H11" s="7" t="s">
        <v>18</v>
      </c>
      <c r="I11" s="8">
        <v>0.163</v>
      </c>
      <c r="K11" s="9">
        <v>0.303</v>
      </c>
      <c r="M11" s="15">
        <v>70.0</v>
      </c>
      <c r="N11" s="9">
        <v>0.303</v>
      </c>
      <c r="S11" s="10"/>
    </row>
    <row r="12" ht="12.75" customHeight="1">
      <c r="H12" s="7" t="s">
        <v>19</v>
      </c>
      <c r="I12" s="8">
        <v>0.186</v>
      </c>
      <c r="K12" s="9">
        <v>0.313</v>
      </c>
      <c r="M12" s="15">
        <v>75.0</v>
      </c>
      <c r="N12" s="9">
        <v>0.313</v>
      </c>
      <c r="S12" s="10"/>
    </row>
    <row r="13" ht="12.75" customHeight="1">
      <c r="H13" s="7" t="s">
        <v>20</v>
      </c>
      <c r="I13" s="8">
        <v>0.202</v>
      </c>
      <c r="K13" s="9">
        <v>0.322</v>
      </c>
      <c r="M13" s="15">
        <v>80.0</v>
      </c>
      <c r="N13" s="9">
        <v>0.322</v>
      </c>
      <c r="S13" s="10"/>
    </row>
    <row r="14" ht="12.75" customHeight="1">
      <c r="H14" s="7" t="s">
        <v>21</v>
      </c>
      <c r="I14" s="8">
        <v>0.217</v>
      </c>
      <c r="K14" s="9">
        <v>0.33</v>
      </c>
      <c r="M14" s="15">
        <v>85.0</v>
      </c>
      <c r="N14" s="9">
        <v>0.33</v>
      </c>
      <c r="S14" s="10"/>
    </row>
    <row r="15" ht="12.75" customHeight="1">
      <c r="H15" s="7" t="s">
        <v>22</v>
      </c>
      <c r="I15" s="8">
        <v>0.227</v>
      </c>
      <c r="K15" s="9">
        <v>0.33</v>
      </c>
      <c r="M15" s="15">
        <v>90.0</v>
      </c>
      <c r="N15" s="9">
        <v>0.33</v>
      </c>
      <c r="S15" s="10"/>
    </row>
    <row r="16" ht="12.75" customHeight="1">
      <c r="H16" s="7" t="s">
        <v>23</v>
      </c>
      <c r="I16" s="8">
        <v>0.24</v>
      </c>
      <c r="K16" s="9">
        <v>0.33</v>
      </c>
      <c r="M16" s="15">
        <v>95.0</v>
      </c>
      <c r="N16" s="9">
        <v>0.33</v>
      </c>
      <c r="S16" s="10"/>
    </row>
    <row r="17" ht="12.75" customHeight="1">
      <c r="H17" s="7" t="s">
        <v>24</v>
      </c>
      <c r="I17" s="8">
        <v>0.256</v>
      </c>
      <c r="K17" s="9">
        <v>0.424</v>
      </c>
      <c r="M17" s="15">
        <v>100.0</v>
      </c>
      <c r="N17" s="9">
        <v>0.424</v>
      </c>
      <c r="S17" s="10"/>
    </row>
    <row r="18" ht="12.75" customHeight="1">
      <c r="H18" s="24" t="s">
        <v>25</v>
      </c>
      <c r="I18" s="8">
        <v>0.272</v>
      </c>
      <c r="J18" t="s">
        <v>6</v>
      </c>
      <c r="K18" s="9">
        <v>0.518</v>
      </c>
      <c r="L18" t="s">
        <v>6</v>
      </c>
      <c r="N18" s="20"/>
      <c r="S18" s="10"/>
    </row>
    <row r="19" ht="13.5" customHeight="1">
      <c r="A19" s="4" t="s">
        <v>26</v>
      </c>
      <c r="E19" s="21">
        <v>0.07</v>
      </c>
      <c r="H19" s="23"/>
      <c r="I19" s="18">
        <f>I18</f>
        <v>0.272</v>
      </c>
      <c r="J19" s="19"/>
      <c r="K19" s="50">
        <f>I18</f>
        <v>0.272</v>
      </c>
      <c r="L19" s="18"/>
      <c r="N19" s="20"/>
      <c r="S19" s="10"/>
    </row>
    <row r="20" ht="13.5" customHeight="1">
      <c r="A20" s="4" t="s">
        <v>28</v>
      </c>
      <c r="E20" s="25">
        <v>0.03</v>
      </c>
      <c r="K20" s="7"/>
      <c r="L20" s="26"/>
      <c r="N20" s="20"/>
      <c r="S20" s="10"/>
    </row>
    <row r="21">
      <c r="A21" s="29" t="s">
        <v>29</v>
      </c>
      <c r="B21" s="31"/>
      <c r="C21" s="31"/>
      <c r="D21" s="31"/>
      <c r="E21" s="32"/>
      <c r="H21" s="32"/>
      <c r="K21" s="7"/>
    </row>
    <row r="22" ht="12.75" customHeight="1">
      <c r="A22" s="33"/>
      <c r="B22" s="34"/>
      <c r="C22" s="34"/>
      <c r="D22" s="36" t="s">
        <v>31</v>
      </c>
      <c r="E22" s="36" t="s">
        <v>33</v>
      </c>
      <c r="F22" s="37" t="s">
        <v>35</v>
      </c>
      <c r="G22" s="38" t="s">
        <v>36</v>
      </c>
      <c r="H22" s="39" t="s">
        <v>37</v>
      </c>
      <c r="I22" s="40" t="s">
        <v>38</v>
      </c>
      <c r="J22" s="41" t="s">
        <v>39</v>
      </c>
      <c r="K22" s="42"/>
      <c r="M22" s="43" t="s">
        <v>33</v>
      </c>
      <c r="N22" s="44" t="s">
        <v>40</v>
      </c>
      <c r="P22" s="46"/>
    </row>
    <row r="23" ht="12.75" customHeight="1">
      <c r="A23" s="48"/>
      <c r="B23" s="7" t="s">
        <v>2</v>
      </c>
      <c r="C23" s="7"/>
      <c r="D23" s="49" t="s">
        <v>43</v>
      </c>
      <c r="E23" s="7" t="s">
        <v>44</v>
      </c>
      <c r="F23" s="52"/>
      <c r="G23" s="53" t="s">
        <v>46</v>
      </c>
      <c r="H23" s="54" t="s">
        <v>46</v>
      </c>
      <c r="I23" s="56" t="s">
        <v>47</v>
      </c>
      <c r="J23" s="58" t="s">
        <v>37</v>
      </c>
      <c r="K23" s="59" t="s">
        <v>33</v>
      </c>
      <c r="M23" s="60"/>
      <c r="N23" s="61" t="s">
        <v>48</v>
      </c>
      <c r="P23" s="7"/>
      <c r="X23" s="20"/>
    </row>
    <row r="24" ht="13.5" customHeight="1">
      <c r="A24" s="62"/>
      <c r="B24" s="63" t="s">
        <v>5</v>
      </c>
      <c r="C24" s="63"/>
      <c r="D24" s="65">
        <f t="shared" ref="D24:D27" si="1">I4</f>
        <v>0.081</v>
      </c>
      <c r="E24" s="66">
        <v>13.0</v>
      </c>
      <c r="F24" s="67">
        <f t="shared" ref="F24:F32" si="2">(J25-J24)+F25</f>
        <v>0.0955</v>
      </c>
      <c r="G24" s="68">
        <f t="shared" ref="G24:G34" si="3">J24+$E$19</f>
        <v>0.1105</v>
      </c>
      <c r="H24" s="70">
        <f t="shared" ref="H24:H41" si="4">J24+$E$20</f>
        <v>0.0705</v>
      </c>
      <c r="I24" s="71">
        <f t="shared" ref="I24:I41" si="5">J24+0.003</f>
        <v>0.0435</v>
      </c>
      <c r="J24" s="72">
        <f t="shared" ref="J24:J41" si="6">D24/2</f>
        <v>0.0405</v>
      </c>
      <c r="K24" s="73" t="s">
        <v>49</v>
      </c>
      <c r="M24" s="74" t="s">
        <v>49</v>
      </c>
      <c r="N24" s="75"/>
      <c r="P24" s="76"/>
      <c r="X24" s="20"/>
    </row>
    <row r="25" ht="13.5" customHeight="1">
      <c r="A25" s="77" t="s">
        <v>50</v>
      </c>
      <c r="B25" s="7" t="s">
        <v>9</v>
      </c>
      <c r="C25" s="7"/>
      <c r="D25" s="78">
        <f t="shared" si="1"/>
        <v>0.093</v>
      </c>
      <c r="E25" s="79">
        <v>12.0</v>
      </c>
      <c r="F25" s="80">
        <f t="shared" si="2"/>
        <v>0.0895</v>
      </c>
      <c r="G25" s="81">
        <f t="shared" si="3"/>
        <v>0.1165</v>
      </c>
      <c r="H25" s="82">
        <f t="shared" si="4"/>
        <v>0.0765</v>
      </c>
      <c r="I25" s="83">
        <f t="shared" si="5"/>
        <v>0.0495</v>
      </c>
      <c r="J25" s="85">
        <f t="shared" si="6"/>
        <v>0.0465</v>
      </c>
      <c r="K25" s="86" t="s">
        <v>51</v>
      </c>
      <c r="M25" s="87" t="s">
        <v>51</v>
      </c>
      <c r="N25" s="75"/>
      <c r="P25" s="76"/>
      <c r="V25" s="88"/>
      <c r="X25" s="4"/>
    </row>
    <row r="26" ht="13.5" customHeight="1">
      <c r="A26" s="62"/>
      <c r="B26" s="63" t="s">
        <v>13</v>
      </c>
      <c r="C26" s="63"/>
      <c r="D26" s="65">
        <f t="shared" si="1"/>
        <v>0.105</v>
      </c>
      <c r="E26" s="66">
        <v>11.0</v>
      </c>
      <c r="F26" s="90">
        <f t="shared" si="2"/>
        <v>0.0835</v>
      </c>
      <c r="G26" s="68">
        <f t="shared" si="3"/>
        <v>0.1225</v>
      </c>
      <c r="H26" s="70">
        <f t="shared" si="4"/>
        <v>0.0825</v>
      </c>
      <c r="I26" s="71">
        <f t="shared" si="5"/>
        <v>0.0555</v>
      </c>
      <c r="J26" s="72">
        <f t="shared" si="6"/>
        <v>0.0525</v>
      </c>
      <c r="K26" s="73" t="s">
        <v>52</v>
      </c>
      <c r="M26" s="74" t="s">
        <v>52</v>
      </c>
      <c r="N26" s="75"/>
      <c r="P26" s="76"/>
      <c r="V26" s="91"/>
      <c r="X26" s="4"/>
    </row>
    <row r="27" ht="13.5" customHeight="1">
      <c r="A27" s="48"/>
      <c r="B27" s="7" t="s">
        <v>16</v>
      </c>
      <c r="C27" s="7"/>
      <c r="D27" s="76">
        <f t="shared" si="1"/>
        <v>0.121</v>
      </c>
      <c r="E27" s="79">
        <v>10.0</v>
      </c>
      <c r="F27" s="80">
        <f t="shared" si="2"/>
        <v>0.0755</v>
      </c>
      <c r="G27" s="81">
        <f t="shared" si="3"/>
        <v>0.1305</v>
      </c>
      <c r="H27" s="82">
        <f t="shared" si="4"/>
        <v>0.0905</v>
      </c>
      <c r="I27" s="83">
        <f t="shared" si="5"/>
        <v>0.0635</v>
      </c>
      <c r="J27" s="85">
        <f t="shared" si="6"/>
        <v>0.0605</v>
      </c>
      <c r="K27" s="86" t="s">
        <v>53</v>
      </c>
      <c r="M27" s="87" t="s">
        <v>53</v>
      </c>
      <c r="N27" s="75"/>
      <c r="P27" s="76"/>
      <c r="V27" s="91"/>
      <c r="X27" s="20"/>
    </row>
    <row r="28" ht="13.5" customHeight="1">
      <c r="A28" s="62"/>
      <c r="B28" s="63" t="s">
        <v>17</v>
      </c>
      <c r="C28" s="63"/>
      <c r="D28" s="65">
        <f t="shared" ref="D28:D33" si="7">I10</f>
        <v>0.139</v>
      </c>
      <c r="E28" s="66">
        <v>9.0</v>
      </c>
      <c r="F28" s="90">
        <f t="shared" si="2"/>
        <v>0.0665</v>
      </c>
      <c r="G28" s="68">
        <f t="shared" si="3"/>
        <v>0.1395</v>
      </c>
      <c r="H28" s="70">
        <f t="shared" si="4"/>
        <v>0.0995</v>
      </c>
      <c r="I28" s="71">
        <f t="shared" si="5"/>
        <v>0.0725</v>
      </c>
      <c r="J28" s="72">
        <f t="shared" si="6"/>
        <v>0.0695</v>
      </c>
      <c r="K28" s="73" t="s">
        <v>54</v>
      </c>
      <c r="M28" s="74" t="s">
        <v>54</v>
      </c>
      <c r="N28" s="75"/>
      <c r="P28" s="76"/>
      <c r="V28" s="88"/>
    </row>
    <row r="29" ht="13.5" customHeight="1">
      <c r="A29" s="48"/>
      <c r="B29" s="7" t="s">
        <v>18</v>
      </c>
      <c r="C29" s="7"/>
      <c r="D29" s="76">
        <f t="shared" si="7"/>
        <v>0.163</v>
      </c>
      <c r="E29" s="79">
        <v>8.0</v>
      </c>
      <c r="F29" s="80">
        <f t="shared" si="2"/>
        <v>0.0545</v>
      </c>
      <c r="G29" s="81">
        <f t="shared" si="3"/>
        <v>0.1515</v>
      </c>
      <c r="H29" s="82">
        <f t="shared" si="4"/>
        <v>0.1115</v>
      </c>
      <c r="I29" s="83">
        <f t="shared" si="5"/>
        <v>0.0845</v>
      </c>
      <c r="J29" s="85">
        <f t="shared" si="6"/>
        <v>0.0815</v>
      </c>
      <c r="K29" s="86" t="s">
        <v>55</v>
      </c>
      <c r="M29" s="87" t="s">
        <v>55</v>
      </c>
      <c r="N29" s="75"/>
      <c r="P29" s="76"/>
      <c r="V29" s="91"/>
    </row>
    <row r="30" ht="13.5" customHeight="1">
      <c r="A30" s="62"/>
      <c r="B30" s="63" t="s">
        <v>19</v>
      </c>
      <c r="C30" s="63"/>
      <c r="D30" s="65">
        <f t="shared" si="7"/>
        <v>0.186</v>
      </c>
      <c r="E30" s="66">
        <v>7.0</v>
      </c>
      <c r="F30" s="90">
        <f t="shared" si="2"/>
        <v>0.043</v>
      </c>
      <c r="G30" s="68">
        <f t="shared" si="3"/>
        <v>0.163</v>
      </c>
      <c r="H30" s="70">
        <f t="shared" si="4"/>
        <v>0.123</v>
      </c>
      <c r="I30" s="71">
        <f t="shared" si="5"/>
        <v>0.096</v>
      </c>
      <c r="J30" s="72">
        <f t="shared" si="6"/>
        <v>0.093</v>
      </c>
      <c r="K30" s="73" t="s">
        <v>56</v>
      </c>
      <c r="M30" s="74" t="s">
        <v>56</v>
      </c>
      <c r="N30" s="75"/>
      <c r="P30" s="76"/>
      <c r="V30" s="91"/>
    </row>
    <row r="31" ht="13.5" customHeight="1">
      <c r="A31" s="48"/>
      <c r="B31" s="7" t="s">
        <v>20</v>
      </c>
      <c r="C31" s="7"/>
      <c r="D31" s="76">
        <f t="shared" si="7"/>
        <v>0.202</v>
      </c>
      <c r="E31" s="79">
        <v>6.0</v>
      </c>
      <c r="F31" s="80">
        <f t="shared" si="2"/>
        <v>0.035</v>
      </c>
      <c r="G31" s="81">
        <f t="shared" si="3"/>
        <v>0.171</v>
      </c>
      <c r="H31" s="82">
        <f t="shared" si="4"/>
        <v>0.131</v>
      </c>
      <c r="I31" s="83">
        <f t="shared" si="5"/>
        <v>0.104</v>
      </c>
      <c r="J31" s="85">
        <f t="shared" si="6"/>
        <v>0.101</v>
      </c>
      <c r="K31" s="86" t="s">
        <v>57</v>
      </c>
      <c r="M31" s="87" t="s">
        <v>57</v>
      </c>
      <c r="N31" s="75"/>
      <c r="P31" s="76"/>
      <c r="V31" s="88"/>
    </row>
    <row r="32" ht="13.5" customHeight="1">
      <c r="A32" s="62"/>
      <c r="B32" s="63" t="s">
        <v>21</v>
      </c>
      <c r="C32" s="63"/>
      <c r="D32" s="65">
        <f t="shared" si="7"/>
        <v>0.217</v>
      </c>
      <c r="E32" s="66">
        <v>5.0</v>
      </c>
      <c r="F32" s="90">
        <f t="shared" si="2"/>
        <v>0.0275</v>
      </c>
      <c r="G32" s="68">
        <f t="shared" si="3"/>
        <v>0.1785</v>
      </c>
      <c r="H32" s="70">
        <f t="shared" si="4"/>
        <v>0.1385</v>
      </c>
      <c r="I32" s="71">
        <f t="shared" si="5"/>
        <v>0.1115</v>
      </c>
      <c r="J32" s="72">
        <f t="shared" si="6"/>
        <v>0.1085</v>
      </c>
      <c r="K32" s="73" t="s">
        <v>58</v>
      </c>
      <c r="M32" s="74" t="s">
        <v>58</v>
      </c>
      <c r="N32" s="75"/>
      <c r="P32" s="76"/>
      <c r="V32" s="91"/>
    </row>
    <row r="33" ht="13.5" customHeight="1">
      <c r="A33" s="94"/>
      <c r="B33" s="7" t="s">
        <v>22</v>
      </c>
      <c r="C33" s="7"/>
      <c r="D33" s="76">
        <f t="shared" si="7"/>
        <v>0.227</v>
      </c>
      <c r="E33" s="79">
        <v>4.0</v>
      </c>
      <c r="F33" s="80">
        <f>(J38-J33)+F38</f>
        <v>0.0225</v>
      </c>
      <c r="G33" s="81">
        <f t="shared" si="3"/>
        <v>0.1835</v>
      </c>
      <c r="H33" s="82">
        <f t="shared" si="4"/>
        <v>0.1435</v>
      </c>
      <c r="I33" s="83">
        <f t="shared" si="5"/>
        <v>0.1165</v>
      </c>
      <c r="J33" s="85">
        <f t="shared" si="6"/>
        <v>0.1135</v>
      </c>
      <c r="K33" s="86" t="s">
        <v>59</v>
      </c>
      <c r="M33" s="87" t="s">
        <v>59</v>
      </c>
      <c r="N33" s="75"/>
      <c r="O33" s="95"/>
      <c r="P33" s="76"/>
    </row>
    <row r="34" ht="13.5" customHeight="1">
      <c r="A34" s="96"/>
      <c r="B34" s="63" t="s">
        <v>60</v>
      </c>
      <c r="C34" s="63"/>
      <c r="D34" s="65">
        <f>MROUND(((D38-D33)/4)+D33,0.001)</f>
        <v>0.23</v>
      </c>
      <c r="E34" s="66"/>
      <c r="F34" s="90" t="s">
        <v>61</v>
      </c>
      <c r="G34" s="68">
        <f t="shared" si="3"/>
        <v>0.185</v>
      </c>
      <c r="H34" s="70">
        <f t="shared" si="4"/>
        <v>0.145</v>
      </c>
      <c r="I34" s="71">
        <f t="shared" si="5"/>
        <v>0.118</v>
      </c>
      <c r="J34" s="72">
        <f t="shared" si="6"/>
        <v>0.115</v>
      </c>
      <c r="K34" s="101"/>
      <c r="M34" s="102"/>
      <c r="N34" s="75"/>
      <c r="P34" s="76"/>
      <c r="V34" s="91"/>
    </row>
    <row r="35" ht="13.5" customHeight="1">
      <c r="A35" s="77"/>
      <c r="B35" s="7" t="s">
        <v>62</v>
      </c>
      <c r="C35" s="7"/>
      <c r="D35" s="76">
        <f>MROUND(((D38-D33)/4)+D34,0.001)</f>
        <v>0.233</v>
      </c>
      <c r="E35" s="79"/>
      <c r="F35" s="80" t="s">
        <v>61</v>
      </c>
      <c r="G35" s="81">
        <f t="shared" ref="G35:G37" si="8">J35+0.07</f>
        <v>0.1865</v>
      </c>
      <c r="H35" s="82">
        <f t="shared" si="4"/>
        <v>0.1465</v>
      </c>
      <c r="I35" s="83">
        <f t="shared" si="5"/>
        <v>0.1195</v>
      </c>
      <c r="J35" s="85">
        <f t="shared" si="6"/>
        <v>0.1165</v>
      </c>
      <c r="K35" s="106"/>
      <c r="M35" s="94"/>
      <c r="N35" s="75"/>
      <c r="P35" s="107"/>
      <c r="V35" s="88"/>
    </row>
    <row r="36" ht="13.5" customHeight="1">
      <c r="A36" s="96"/>
      <c r="B36" s="63" t="s">
        <v>63</v>
      </c>
      <c r="C36" s="63"/>
      <c r="D36" s="65">
        <f>MROUND(((D38-D33)/4)+D35,0.001)</f>
        <v>0.236</v>
      </c>
      <c r="E36" s="66"/>
      <c r="F36" s="90" t="s">
        <v>61</v>
      </c>
      <c r="G36" s="68">
        <f t="shared" si="8"/>
        <v>0.188</v>
      </c>
      <c r="H36" s="70">
        <f t="shared" si="4"/>
        <v>0.148</v>
      </c>
      <c r="I36" s="71">
        <f t="shared" si="5"/>
        <v>0.121</v>
      </c>
      <c r="J36" s="72">
        <f t="shared" si="6"/>
        <v>0.118</v>
      </c>
      <c r="K36" s="101"/>
      <c r="M36" s="102"/>
      <c r="N36" s="75"/>
      <c r="P36" s="76"/>
      <c r="V36" s="7"/>
    </row>
    <row r="37" ht="13.5" customHeight="1">
      <c r="A37" s="94"/>
      <c r="B37" s="7" t="s">
        <v>64</v>
      </c>
      <c r="C37" s="7"/>
      <c r="D37" s="76">
        <f>MROUND(((D38-D33)/4)+D36,0.001)</f>
        <v>0.239</v>
      </c>
      <c r="E37" s="79"/>
      <c r="F37" s="80" t="s">
        <v>61</v>
      </c>
      <c r="G37" s="81">
        <f t="shared" si="8"/>
        <v>0.1895</v>
      </c>
      <c r="H37" s="82">
        <f t="shared" si="4"/>
        <v>0.1495</v>
      </c>
      <c r="I37" s="83">
        <f t="shared" si="5"/>
        <v>0.1225</v>
      </c>
      <c r="J37" s="85">
        <f t="shared" si="6"/>
        <v>0.1195</v>
      </c>
      <c r="K37" s="106"/>
      <c r="M37" s="94"/>
      <c r="N37" s="75"/>
      <c r="P37" s="76"/>
    </row>
    <row r="38" ht="13.5" customHeight="1">
      <c r="A38" s="96"/>
      <c r="B38" s="63" t="s">
        <v>23</v>
      </c>
      <c r="C38" s="63"/>
      <c r="D38" s="65">
        <f t="shared" ref="D38:D41" si="9">I16</f>
        <v>0.24</v>
      </c>
      <c r="E38" s="66">
        <v>3.0</v>
      </c>
      <c r="F38" s="90">
        <f t="shared" ref="F38:F40" si="10">(J39-J38)+F39</f>
        <v>0.016</v>
      </c>
      <c r="G38" s="68">
        <f t="shared" ref="G38:G39" si="11">J38+$E$19</f>
        <v>0.19</v>
      </c>
      <c r="H38" s="70">
        <f t="shared" si="4"/>
        <v>0.15</v>
      </c>
      <c r="I38" s="71">
        <f t="shared" si="5"/>
        <v>0.123</v>
      </c>
      <c r="J38" s="72">
        <f t="shared" si="6"/>
        <v>0.12</v>
      </c>
      <c r="K38" s="73" t="s">
        <v>65</v>
      </c>
      <c r="M38" s="74" t="s">
        <v>65</v>
      </c>
      <c r="N38" s="75"/>
      <c r="O38" s="95"/>
      <c r="P38" s="76"/>
    </row>
    <row r="39" ht="13.5" customHeight="1">
      <c r="A39" s="94"/>
      <c r="B39" s="7" t="s">
        <v>24</v>
      </c>
      <c r="C39" s="7"/>
      <c r="D39" s="76">
        <f t="shared" si="9"/>
        <v>0.256</v>
      </c>
      <c r="E39" s="79">
        <v>2.0</v>
      </c>
      <c r="F39" s="80">
        <f t="shared" si="10"/>
        <v>0.008</v>
      </c>
      <c r="G39" s="81">
        <f t="shared" si="11"/>
        <v>0.198</v>
      </c>
      <c r="H39" s="82">
        <f t="shared" si="4"/>
        <v>0.158</v>
      </c>
      <c r="I39" s="83">
        <f t="shared" si="5"/>
        <v>0.131</v>
      </c>
      <c r="J39" s="85">
        <f t="shared" si="6"/>
        <v>0.128</v>
      </c>
      <c r="K39" s="86" t="s">
        <v>66</v>
      </c>
      <c r="M39" s="87" t="s">
        <v>66</v>
      </c>
      <c r="N39" s="75"/>
      <c r="P39" s="76"/>
    </row>
    <row r="40" ht="13.5" customHeight="1">
      <c r="A40" s="62"/>
      <c r="B40" s="111" t="s">
        <v>25</v>
      </c>
      <c r="C40" s="108"/>
      <c r="D40" s="65">
        <f t="shared" si="9"/>
        <v>0.272</v>
      </c>
      <c r="E40" s="66">
        <v>1.0</v>
      </c>
      <c r="F40" s="90">
        <f t="shared" si="10"/>
        <v>0</v>
      </c>
      <c r="G40" s="68">
        <f>G41</f>
        <v>0.198</v>
      </c>
      <c r="H40" s="70">
        <f t="shared" si="4"/>
        <v>0.166</v>
      </c>
      <c r="I40" s="71">
        <f t="shared" si="5"/>
        <v>0.139</v>
      </c>
      <c r="J40" s="72">
        <f t="shared" si="6"/>
        <v>0.136</v>
      </c>
      <c r="K40" s="73" t="s">
        <v>67</v>
      </c>
      <c r="M40" s="74" t="s">
        <v>67</v>
      </c>
      <c r="N40" s="75"/>
      <c r="P40" s="76"/>
    </row>
    <row r="41" ht="13.5" customHeight="1">
      <c r="A41" s="112"/>
      <c r="B41" s="113" t="s">
        <v>68</v>
      </c>
      <c r="C41" s="113"/>
      <c r="D41" s="114">
        <f t="shared" si="9"/>
        <v>0.272</v>
      </c>
      <c r="E41" s="115">
        <v>0.0</v>
      </c>
      <c r="F41" s="116">
        <v>0.0</v>
      </c>
      <c r="G41" s="117">
        <f>G39</f>
        <v>0.198</v>
      </c>
      <c r="H41" s="119">
        <f t="shared" si="4"/>
        <v>0.166</v>
      </c>
      <c r="I41" s="121">
        <f t="shared" si="5"/>
        <v>0.139</v>
      </c>
      <c r="J41" s="122">
        <f t="shared" si="6"/>
        <v>0.136</v>
      </c>
      <c r="K41" s="123" t="s">
        <v>70</v>
      </c>
      <c r="M41" s="124" t="s">
        <v>70</v>
      </c>
      <c r="N41" s="125"/>
      <c r="P41" s="76"/>
    </row>
    <row r="42" ht="12.75" customHeight="1">
      <c r="B42" s="7"/>
      <c r="C42" s="7"/>
      <c r="D42" s="76"/>
      <c r="E42" s="76"/>
      <c r="F42" s="76"/>
      <c r="G42" s="76"/>
      <c r="H42" s="76"/>
      <c r="I42" s="76"/>
      <c r="J42" s="76"/>
      <c r="K42" s="91"/>
      <c r="L42" s="49"/>
      <c r="M42" s="7"/>
      <c r="N42" s="126"/>
      <c r="O42" s="126"/>
      <c r="P42" s="126"/>
      <c r="Q42" s="126"/>
      <c r="R42" s="126"/>
      <c r="S42" s="126"/>
      <c r="T42" s="126"/>
      <c r="U42" s="91"/>
    </row>
    <row r="43" ht="12.75" customHeight="1">
      <c r="A43" s="49"/>
      <c r="B43" s="7"/>
      <c r="C43" s="7"/>
      <c r="D43" s="76"/>
      <c r="E43" s="76"/>
      <c r="F43" s="76"/>
      <c r="G43" s="76"/>
      <c r="H43" s="76"/>
      <c r="I43" s="76"/>
      <c r="J43" s="76"/>
      <c r="K43" s="91"/>
      <c r="L43" s="49"/>
      <c r="M43" s="7"/>
      <c r="N43" s="126"/>
      <c r="O43" s="126"/>
      <c r="P43" s="126"/>
      <c r="Q43" s="126"/>
      <c r="R43" s="126"/>
      <c r="S43" s="126"/>
      <c r="T43" s="126"/>
      <c r="U43" s="91"/>
    </row>
    <row r="44" ht="12.75" customHeight="1">
      <c r="B44" s="7"/>
      <c r="C44" s="7"/>
      <c r="D44" s="76"/>
      <c r="E44" s="76"/>
      <c r="F44" s="76"/>
      <c r="G44" s="76"/>
      <c r="H44" s="76"/>
      <c r="I44" s="76"/>
      <c r="J44" s="76"/>
      <c r="K44" s="91"/>
      <c r="L44" s="49"/>
      <c r="M44" s="7"/>
      <c r="N44" s="126"/>
      <c r="O44" s="126"/>
      <c r="P44" s="126"/>
      <c r="Q44" s="126"/>
      <c r="R44" s="126"/>
      <c r="S44" s="126"/>
      <c r="T44" s="126"/>
      <c r="U44" s="91"/>
    </row>
    <row r="45" ht="12.75" customHeight="1">
      <c r="B45" s="7"/>
      <c r="C45" s="7"/>
      <c r="D45" s="76"/>
      <c r="E45" s="76"/>
      <c r="F45" s="76"/>
      <c r="G45" s="76"/>
      <c r="H45" s="76"/>
      <c r="I45" s="76"/>
      <c r="J45" s="76"/>
      <c r="K45" s="91"/>
      <c r="L45" s="49"/>
      <c r="M45" s="7"/>
      <c r="N45" s="126"/>
      <c r="O45" s="126"/>
      <c r="P45" s="126"/>
      <c r="Q45" s="126"/>
      <c r="R45" s="126"/>
      <c r="S45" s="126"/>
      <c r="T45" s="126"/>
      <c r="U45" s="91"/>
    </row>
    <row r="46">
      <c r="A46" s="127" t="s">
        <v>71</v>
      </c>
      <c r="E46" s="127"/>
      <c r="F46" s="127"/>
      <c r="G46" s="127"/>
      <c r="H46" s="127"/>
      <c r="I46" s="128"/>
    </row>
    <row r="47" ht="12.75" customHeight="1">
      <c r="A47" s="129"/>
      <c r="B47" s="34"/>
      <c r="C47" s="34"/>
      <c r="D47" s="36" t="s">
        <v>31</v>
      </c>
      <c r="E47" s="36" t="s">
        <v>33</v>
      </c>
      <c r="F47" s="37" t="s">
        <v>35</v>
      </c>
      <c r="G47" s="38" t="s">
        <v>36</v>
      </c>
      <c r="H47" s="39" t="s">
        <v>37</v>
      </c>
      <c r="I47" s="40" t="s">
        <v>38</v>
      </c>
      <c r="J47" s="41" t="s">
        <v>39</v>
      </c>
      <c r="K47" s="130"/>
      <c r="M47" s="43" t="s">
        <v>33</v>
      </c>
      <c r="N47" s="44" t="s">
        <v>40</v>
      </c>
    </row>
    <row r="48" ht="12.75" customHeight="1">
      <c r="A48" s="131"/>
      <c r="B48" s="7" t="s">
        <v>3</v>
      </c>
      <c r="C48" s="7"/>
      <c r="D48" s="49" t="s">
        <v>43</v>
      </c>
      <c r="E48" s="7" t="s">
        <v>44</v>
      </c>
      <c r="F48" s="52"/>
      <c r="G48" s="53" t="s">
        <v>46</v>
      </c>
      <c r="H48" s="54" t="s">
        <v>46</v>
      </c>
      <c r="I48" s="56" t="s">
        <v>47</v>
      </c>
      <c r="J48" s="58" t="s">
        <v>37</v>
      </c>
      <c r="K48" s="59" t="s">
        <v>33</v>
      </c>
      <c r="M48" s="60"/>
      <c r="N48" s="61" t="s">
        <v>48</v>
      </c>
    </row>
    <row r="49" ht="12.75" customHeight="1">
      <c r="A49" s="62"/>
      <c r="B49" s="63" t="s">
        <v>5</v>
      </c>
      <c r="C49" s="63"/>
      <c r="D49" s="132">
        <v>0.268</v>
      </c>
      <c r="E49" s="133">
        <v>13.0</v>
      </c>
      <c r="F49" s="134">
        <f t="shared" ref="F49:F60" si="12">(J50-J49)+F50</f>
        <v>0.125</v>
      </c>
      <c r="G49" s="136">
        <f t="shared" ref="G49:G60" si="13">J49+$E$19</f>
        <v>0.204</v>
      </c>
      <c r="H49" s="70">
        <f t="shared" ref="H49:H60" si="14">J49+$E$20</f>
        <v>0.164</v>
      </c>
      <c r="I49" s="71">
        <f t="shared" ref="I49:I62" si="15">J49+0.003</f>
        <v>0.137</v>
      </c>
      <c r="J49" s="72">
        <f t="shared" ref="J49:J62" si="16">D49/2</f>
        <v>0.134</v>
      </c>
      <c r="K49" s="73" t="s">
        <v>49</v>
      </c>
      <c r="M49" s="74" t="s">
        <v>49</v>
      </c>
      <c r="N49" s="137"/>
    </row>
    <row r="50" ht="12.75" customHeight="1">
      <c r="A50" s="77" t="s">
        <v>69</v>
      </c>
      <c r="B50" s="7" t="s">
        <v>9</v>
      </c>
      <c r="C50" s="7"/>
      <c r="D50" s="138">
        <v>0.27</v>
      </c>
      <c r="E50" s="79">
        <v>12.0</v>
      </c>
      <c r="F50" s="134">
        <f t="shared" si="12"/>
        <v>0.124</v>
      </c>
      <c r="G50" s="139">
        <f t="shared" si="13"/>
        <v>0.205</v>
      </c>
      <c r="H50" s="82">
        <f t="shared" si="14"/>
        <v>0.165</v>
      </c>
      <c r="I50" s="83">
        <f t="shared" si="15"/>
        <v>0.138</v>
      </c>
      <c r="J50" s="85">
        <f t="shared" si="16"/>
        <v>0.135</v>
      </c>
      <c r="K50" s="86" t="s">
        <v>51</v>
      </c>
      <c r="M50" s="87" t="s">
        <v>51</v>
      </c>
      <c r="N50" s="137"/>
    </row>
    <row r="51" ht="12.75" customHeight="1">
      <c r="A51" s="62"/>
      <c r="B51" s="63" t="s">
        <v>13</v>
      </c>
      <c r="C51" s="63"/>
      <c r="D51" s="132">
        <v>0.272</v>
      </c>
      <c r="E51" s="133">
        <v>11.0</v>
      </c>
      <c r="F51" s="134">
        <f t="shared" si="12"/>
        <v>0.123</v>
      </c>
      <c r="G51" s="136">
        <f t="shared" si="13"/>
        <v>0.206</v>
      </c>
      <c r="H51" s="70">
        <f t="shared" si="14"/>
        <v>0.166</v>
      </c>
      <c r="I51" s="71">
        <f t="shared" si="15"/>
        <v>0.139</v>
      </c>
      <c r="J51" s="72">
        <f t="shared" si="16"/>
        <v>0.136</v>
      </c>
      <c r="K51" s="73" t="s">
        <v>52</v>
      </c>
      <c r="M51" s="74" t="s">
        <v>52</v>
      </c>
      <c r="N51" s="137"/>
    </row>
    <row r="52" ht="12.75" customHeight="1">
      <c r="A52" s="48"/>
      <c r="B52" s="7" t="s">
        <v>16</v>
      </c>
      <c r="C52" s="7"/>
      <c r="D52" s="138">
        <v>0.279</v>
      </c>
      <c r="E52" s="79">
        <v>10.0</v>
      </c>
      <c r="F52" s="134">
        <f t="shared" si="12"/>
        <v>0.1195</v>
      </c>
      <c r="G52" s="139">
        <f t="shared" si="13"/>
        <v>0.2095</v>
      </c>
      <c r="H52" s="82">
        <f t="shared" si="14"/>
        <v>0.1695</v>
      </c>
      <c r="I52" s="83">
        <f t="shared" si="15"/>
        <v>0.1425</v>
      </c>
      <c r="J52" s="85">
        <f t="shared" si="16"/>
        <v>0.1395</v>
      </c>
      <c r="K52" s="86" t="s">
        <v>53</v>
      </c>
      <c r="M52" s="87" t="s">
        <v>53</v>
      </c>
      <c r="N52" s="137"/>
    </row>
    <row r="53" ht="12.75" customHeight="1">
      <c r="A53" s="62"/>
      <c r="B53" s="63" t="s">
        <v>17</v>
      </c>
      <c r="C53" s="63"/>
      <c r="D53" s="132">
        <v>0.29</v>
      </c>
      <c r="E53" s="133">
        <v>9.0</v>
      </c>
      <c r="F53" s="134">
        <f t="shared" si="12"/>
        <v>0.114</v>
      </c>
      <c r="G53" s="136">
        <f t="shared" si="13"/>
        <v>0.215</v>
      </c>
      <c r="H53" s="70">
        <f t="shared" si="14"/>
        <v>0.175</v>
      </c>
      <c r="I53" s="71">
        <f t="shared" si="15"/>
        <v>0.148</v>
      </c>
      <c r="J53" s="72">
        <f t="shared" si="16"/>
        <v>0.145</v>
      </c>
      <c r="K53" s="73" t="s">
        <v>54</v>
      </c>
      <c r="M53" s="74" t="s">
        <v>54</v>
      </c>
      <c r="N53" s="137"/>
    </row>
    <row r="54" ht="12.75" customHeight="1">
      <c r="A54" s="48"/>
      <c r="B54" s="7" t="s">
        <v>18</v>
      </c>
      <c r="C54" s="7"/>
      <c r="D54" s="138">
        <v>0.303</v>
      </c>
      <c r="E54" s="79">
        <v>8.0</v>
      </c>
      <c r="F54" s="134">
        <f t="shared" si="12"/>
        <v>0.1075</v>
      </c>
      <c r="G54" s="139">
        <f t="shared" si="13"/>
        <v>0.2215</v>
      </c>
      <c r="H54" s="82">
        <f t="shared" si="14"/>
        <v>0.1815</v>
      </c>
      <c r="I54" s="83">
        <f t="shared" si="15"/>
        <v>0.1545</v>
      </c>
      <c r="J54" s="85">
        <f t="shared" si="16"/>
        <v>0.1515</v>
      </c>
      <c r="K54" s="86" t="s">
        <v>55</v>
      </c>
      <c r="M54" s="87" t="s">
        <v>55</v>
      </c>
      <c r="N54" s="137"/>
    </row>
    <row r="55" ht="12.75" customHeight="1">
      <c r="A55" s="62"/>
      <c r="B55" s="63" t="s">
        <v>19</v>
      </c>
      <c r="C55" s="63"/>
      <c r="D55" s="132">
        <v>0.313</v>
      </c>
      <c r="E55" s="133">
        <v>7.0</v>
      </c>
      <c r="F55" s="134">
        <f t="shared" si="12"/>
        <v>0.1025</v>
      </c>
      <c r="G55" s="136">
        <f t="shared" si="13"/>
        <v>0.2265</v>
      </c>
      <c r="H55" s="70">
        <f t="shared" si="14"/>
        <v>0.1865</v>
      </c>
      <c r="I55" s="71">
        <f t="shared" si="15"/>
        <v>0.1595</v>
      </c>
      <c r="J55" s="72">
        <f t="shared" si="16"/>
        <v>0.1565</v>
      </c>
      <c r="K55" s="73" t="s">
        <v>56</v>
      </c>
      <c r="M55" s="74" t="s">
        <v>56</v>
      </c>
      <c r="N55" s="137"/>
    </row>
    <row r="56" ht="12.75" customHeight="1">
      <c r="A56" s="48"/>
      <c r="B56" s="7" t="s">
        <v>20</v>
      </c>
      <c r="C56" s="7"/>
      <c r="D56" s="138">
        <v>0.322</v>
      </c>
      <c r="E56" s="79">
        <v>6.0</v>
      </c>
      <c r="F56" s="134">
        <f t="shared" si="12"/>
        <v>0.098</v>
      </c>
      <c r="G56" s="139">
        <f t="shared" si="13"/>
        <v>0.231</v>
      </c>
      <c r="H56" s="82">
        <f t="shared" si="14"/>
        <v>0.191</v>
      </c>
      <c r="I56" s="83">
        <f t="shared" si="15"/>
        <v>0.164</v>
      </c>
      <c r="J56" s="85">
        <f t="shared" si="16"/>
        <v>0.161</v>
      </c>
      <c r="K56" s="86" t="s">
        <v>57</v>
      </c>
      <c r="M56" s="87" t="s">
        <v>57</v>
      </c>
      <c r="N56" s="137"/>
    </row>
    <row r="57" ht="12.75" customHeight="1">
      <c r="A57" s="62"/>
      <c r="B57" s="63" t="s">
        <v>21</v>
      </c>
      <c r="C57" s="63"/>
      <c r="D57" s="132">
        <v>0.33</v>
      </c>
      <c r="E57" s="133">
        <v>5.0</v>
      </c>
      <c r="F57" s="134">
        <f t="shared" si="12"/>
        <v>0.094</v>
      </c>
      <c r="G57" s="136">
        <f t="shared" si="13"/>
        <v>0.235</v>
      </c>
      <c r="H57" s="70">
        <f t="shared" si="14"/>
        <v>0.195</v>
      </c>
      <c r="I57" s="71">
        <f t="shared" si="15"/>
        <v>0.168</v>
      </c>
      <c r="J57" s="72">
        <f t="shared" si="16"/>
        <v>0.165</v>
      </c>
      <c r="K57" s="73" t="s">
        <v>58</v>
      </c>
      <c r="M57" s="74" t="s">
        <v>58</v>
      </c>
      <c r="N57" s="137"/>
    </row>
    <row r="58" ht="12.75" customHeight="1">
      <c r="A58" s="48"/>
      <c r="B58" s="7" t="s">
        <v>22</v>
      </c>
      <c r="C58" s="7"/>
      <c r="D58" s="138">
        <v>0.33</v>
      </c>
      <c r="E58" s="79">
        <v>4.0</v>
      </c>
      <c r="F58" s="134">
        <f t="shared" si="12"/>
        <v>0.094</v>
      </c>
      <c r="G58" s="139">
        <f t="shared" si="13"/>
        <v>0.235</v>
      </c>
      <c r="H58" s="82">
        <f t="shared" si="14"/>
        <v>0.195</v>
      </c>
      <c r="I58" s="83">
        <f t="shared" si="15"/>
        <v>0.168</v>
      </c>
      <c r="J58" s="85">
        <f t="shared" si="16"/>
        <v>0.165</v>
      </c>
      <c r="K58" s="86" t="s">
        <v>59</v>
      </c>
      <c r="M58" s="87" t="s">
        <v>59</v>
      </c>
      <c r="N58" s="137"/>
    </row>
    <row r="59" ht="12.75" customHeight="1">
      <c r="A59" s="62"/>
      <c r="B59" s="63" t="s">
        <v>23</v>
      </c>
      <c r="C59" s="63"/>
      <c r="D59" s="132">
        <v>0.33</v>
      </c>
      <c r="E59" s="133">
        <v>3.0</v>
      </c>
      <c r="F59" s="134">
        <f t="shared" si="12"/>
        <v>0.094</v>
      </c>
      <c r="G59" s="136">
        <f t="shared" si="13"/>
        <v>0.235</v>
      </c>
      <c r="H59" s="70">
        <f t="shared" si="14"/>
        <v>0.195</v>
      </c>
      <c r="I59" s="71">
        <f t="shared" si="15"/>
        <v>0.168</v>
      </c>
      <c r="J59" s="72">
        <f t="shared" si="16"/>
        <v>0.165</v>
      </c>
      <c r="K59" s="73" t="s">
        <v>65</v>
      </c>
      <c r="M59" s="74" t="s">
        <v>65</v>
      </c>
      <c r="N59" s="137"/>
    </row>
    <row r="60" ht="12.75" customHeight="1">
      <c r="A60" s="48"/>
      <c r="B60" s="7" t="s">
        <v>24</v>
      </c>
      <c r="C60" s="7"/>
      <c r="D60" s="138">
        <v>0.424</v>
      </c>
      <c r="E60" s="79">
        <v>2.0</v>
      </c>
      <c r="F60" s="134">
        <f t="shared" si="12"/>
        <v>0.047</v>
      </c>
      <c r="G60" s="139">
        <f t="shared" si="13"/>
        <v>0.282</v>
      </c>
      <c r="H60" s="82">
        <f t="shared" si="14"/>
        <v>0.242</v>
      </c>
      <c r="I60" s="83">
        <f t="shared" si="15"/>
        <v>0.215</v>
      </c>
      <c r="J60" s="85">
        <f t="shared" si="16"/>
        <v>0.212</v>
      </c>
      <c r="K60" s="86" t="s">
        <v>66</v>
      </c>
      <c r="M60" s="87" t="s">
        <v>66</v>
      </c>
      <c r="N60" s="137"/>
    </row>
    <row r="61" ht="12.75" customHeight="1">
      <c r="A61" s="62"/>
      <c r="B61" s="111" t="s">
        <v>25</v>
      </c>
      <c r="C61" s="63"/>
      <c r="D61" s="132">
        <v>0.518</v>
      </c>
      <c r="E61" s="133">
        <v>1.0</v>
      </c>
      <c r="F61" s="141">
        <v>0.0</v>
      </c>
      <c r="G61" s="136">
        <f>G62</f>
        <v>0.282</v>
      </c>
      <c r="H61" s="70">
        <f t="shared" ref="H61:H62" si="17">H60</f>
        <v>0.242</v>
      </c>
      <c r="I61" s="71">
        <f t="shared" si="15"/>
        <v>0.262</v>
      </c>
      <c r="J61" s="72">
        <f t="shared" si="16"/>
        <v>0.259</v>
      </c>
      <c r="K61" s="73" t="s">
        <v>67</v>
      </c>
      <c r="M61" s="74" t="s">
        <v>67</v>
      </c>
      <c r="N61" s="137"/>
    </row>
    <row r="62" ht="13.5" customHeight="1">
      <c r="A62" s="112"/>
      <c r="B62" s="142"/>
      <c r="C62" s="142"/>
      <c r="D62" s="143">
        <f>K17</f>
        <v>0.424</v>
      </c>
      <c r="E62" s="115">
        <v>0.0</v>
      </c>
      <c r="F62" s="144">
        <v>0.0</v>
      </c>
      <c r="G62" s="145">
        <f>G60</f>
        <v>0.282</v>
      </c>
      <c r="H62" s="119">
        <f t="shared" si="17"/>
        <v>0.242</v>
      </c>
      <c r="I62" s="121">
        <f t="shared" si="15"/>
        <v>0.215</v>
      </c>
      <c r="J62" s="146">
        <f t="shared" si="16"/>
        <v>0.212</v>
      </c>
      <c r="K62" s="123" t="s">
        <v>70</v>
      </c>
      <c r="M62" s="124" t="s">
        <v>70</v>
      </c>
      <c r="N62" s="147"/>
    </row>
    <row r="63" ht="12.75" customHeight="1">
      <c r="A63" s="95"/>
      <c r="B63" s="88"/>
      <c r="C63" s="88"/>
      <c r="D63" s="126"/>
      <c r="E63" s="148"/>
      <c r="F63" s="149"/>
      <c r="G63" s="79"/>
      <c r="H63" s="150"/>
      <c r="I63" s="95"/>
      <c r="J63" s="152"/>
      <c r="K63" s="91"/>
    </row>
    <row r="64" ht="12.75" customHeight="1">
      <c r="A64" s="95"/>
      <c r="B64" s="88"/>
      <c r="C64" s="88"/>
      <c r="D64" s="126"/>
      <c r="E64" s="148"/>
      <c r="F64" s="149"/>
      <c r="G64" s="79"/>
      <c r="H64" s="150"/>
      <c r="I64" s="126"/>
      <c r="J64" s="152"/>
      <c r="K64" s="91"/>
    </row>
    <row r="65" ht="12.75" customHeight="1">
      <c r="A65" s="49"/>
      <c r="B65" s="7"/>
      <c r="C65" s="7"/>
      <c r="D65" s="126"/>
      <c r="E65" s="148"/>
      <c r="F65" s="149"/>
      <c r="G65" s="79"/>
      <c r="H65" s="150"/>
      <c r="I65" s="126"/>
      <c r="J65" s="152"/>
      <c r="K65" s="91"/>
    </row>
    <row r="66" ht="12.75" customHeight="1">
      <c r="A66" s="49"/>
      <c r="B66" s="7"/>
      <c r="C66" s="9">
        <v>0.268</v>
      </c>
      <c r="D66" s="126"/>
      <c r="E66" s="148"/>
      <c r="F66" s="149"/>
      <c r="G66" s="79"/>
      <c r="H66" s="150"/>
      <c r="I66" s="126"/>
      <c r="J66" s="152"/>
      <c r="K66" s="91"/>
      <c r="N66" s="49"/>
      <c r="U66" s="156"/>
    </row>
    <row r="67" ht="12.75" customHeight="1">
      <c r="A67" s="5"/>
      <c r="B67" s="156"/>
      <c r="C67" s="9">
        <v>0.27</v>
      </c>
      <c r="E67" s="49"/>
      <c r="F67" s="49"/>
      <c r="G67" s="49"/>
      <c r="H67" s="49"/>
      <c r="K67" s="157"/>
      <c r="N67" s="49"/>
      <c r="U67" s="157"/>
    </row>
    <row r="68" ht="12.75" customHeight="1">
      <c r="A68" s="5"/>
      <c r="B68" s="158"/>
      <c r="C68" s="9">
        <v>0.272</v>
      </c>
      <c r="N68" s="49"/>
      <c r="U68" s="157"/>
    </row>
    <row r="69" ht="12.75" customHeight="1">
      <c r="A69" s="5"/>
      <c r="B69" s="159"/>
      <c r="C69" s="9">
        <v>0.279</v>
      </c>
      <c r="E69" s="49"/>
      <c r="F69" s="49"/>
      <c r="G69" s="49"/>
      <c r="H69" s="49"/>
      <c r="L69" s="156"/>
      <c r="N69" s="49"/>
      <c r="U69" s="157"/>
    </row>
    <row r="70" ht="12.75" customHeight="1">
      <c r="A70" s="5"/>
      <c r="B70" s="157"/>
      <c r="C70" s="16"/>
      <c r="E70" s="49"/>
      <c r="F70" s="49"/>
      <c r="G70" s="49"/>
      <c r="H70" s="49"/>
      <c r="L70" s="156"/>
    </row>
    <row r="71" ht="12.75" customHeight="1">
      <c r="A71" s="5"/>
      <c r="B71" s="160"/>
      <c r="C71" s="9"/>
      <c r="N71" s="91"/>
      <c r="O71" s="5"/>
      <c r="P71" s="5"/>
      <c r="Q71" s="5"/>
      <c r="R71" s="5"/>
      <c r="S71" s="91"/>
      <c r="T71" s="46"/>
    </row>
    <row r="72" ht="12.75" customHeight="1">
      <c r="A72" s="91"/>
      <c r="B72" s="7"/>
      <c r="C72" s="9">
        <v>0.29</v>
      </c>
      <c r="D72" s="46"/>
      <c r="E72" s="46"/>
      <c r="F72" s="46"/>
      <c r="G72" s="46"/>
      <c r="H72" s="46"/>
      <c r="I72" s="91"/>
      <c r="J72" s="91"/>
      <c r="K72" s="91"/>
      <c r="L72" s="91"/>
      <c r="N72" s="91"/>
      <c r="O72" s="49"/>
      <c r="P72" s="49"/>
      <c r="Q72" s="49"/>
      <c r="R72" s="49"/>
      <c r="S72" s="46"/>
      <c r="U72" s="46"/>
      <c r="V72" s="7"/>
    </row>
    <row r="73" ht="12.75" customHeight="1">
      <c r="A73" s="7"/>
      <c r="B73" s="128"/>
      <c r="C73" s="9">
        <v>0.303</v>
      </c>
      <c r="E73" s="7"/>
      <c r="F73" s="7"/>
      <c r="G73" s="7"/>
      <c r="H73" s="7"/>
      <c r="I73" s="7"/>
      <c r="J73" s="7"/>
      <c r="K73" s="7"/>
      <c r="L73" s="7"/>
      <c r="N73" s="7"/>
      <c r="S73" s="7"/>
      <c r="T73" s="7"/>
      <c r="U73" s="7"/>
      <c r="V73" s="7"/>
    </row>
    <row r="74" ht="12.75" customHeight="1">
      <c r="A74" s="7"/>
      <c r="B74" s="10"/>
      <c r="C74" s="9">
        <v>0.313</v>
      </c>
      <c r="D74" s="76"/>
      <c r="E74" s="162"/>
      <c r="F74" s="162"/>
      <c r="G74" s="162"/>
      <c r="H74" s="162"/>
      <c r="I74" s="162"/>
      <c r="J74" s="162"/>
      <c r="K74" s="91"/>
      <c r="L74" s="91"/>
      <c r="N74" s="7"/>
      <c r="O74" s="10"/>
      <c r="P74" s="10"/>
      <c r="Q74" s="10"/>
      <c r="R74" s="10"/>
      <c r="S74" s="162"/>
      <c r="T74" s="162"/>
      <c r="U74" s="162"/>
      <c r="V74" s="91"/>
    </row>
    <row r="75" ht="12.75" customHeight="1">
      <c r="A75" s="7"/>
      <c r="B75" s="10"/>
      <c r="C75" s="9">
        <v>0.322</v>
      </c>
      <c r="D75" s="76"/>
      <c r="E75" s="162"/>
      <c r="F75" s="162"/>
      <c r="G75" s="162"/>
      <c r="H75" s="162"/>
      <c r="I75" s="162"/>
      <c r="J75" s="162"/>
      <c r="K75" s="91"/>
      <c r="L75" s="88"/>
      <c r="N75" s="7"/>
      <c r="O75" s="10"/>
      <c r="P75" s="10"/>
      <c r="Q75" s="10"/>
      <c r="R75" s="10"/>
      <c r="S75" s="162"/>
      <c r="T75" s="162"/>
      <c r="U75" s="162"/>
      <c r="V75" s="91"/>
      <c r="W75" s="88"/>
    </row>
    <row r="76" ht="12.75" customHeight="1">
      <c r="A76" s="7"/>
      <c r="B76" s="10"/>
      <c r="C76" s="9">
        <v>0.33</v>
      </c>
      <c r="D76" s="76"/>
      <c r="E76" s="162"/>
      <c r="F76" s="162"/>
      <c r="G76" s="162"/>
      <c r="H76" s="162"/>
      <c r="I76" s="162"/>
      <c r="J76" s="162"/>
      <c r="K76" s="91"/>
      <c r="L76" s="91"/>
      <c r="N76" s="7"/>
      <c r="O76" s="10"/>
      <c r="P76" s="10"/>
      <c r="Q76" s="10"/>
      <c r="R76" s="10"/>
      <c r="S76" s="162"/>
      <c r="T76" s="162"/>
      <c r="U76" s="162"/>
      <c r="V76" s="91"/>
      <c r="W76" s="91"/>
    </row>
    <row r="77" ht="12.75" customHeight="1">
      <c r="A77" s="7"/>
      <c r="B77" s="10"/>
      <c r="C77" s="9">
        <v>0.33</v>
      </c>
      <c r="D77" s="76"/>
      <c r="E77" s="162"/>
      <c r="F77" s="162"/>
      <c r="G77" s="162"/>
      <c r="H77" s="162"/>
      <c r="I77" s="162"/>
      <c r="J77" s="162"/>
      <c r="K77" s="91"/>
      <c r="L77" s="91"/>
      <c r="N77" s="7"/>
      <c r="O77" s="10"/>
      <c r="P77" s="10"/>
      <c r="Q77" s="10"/>
      <c r="R77" s="10"/>
      <c r="S77" s="162"/>
      <c r="T77" s="162"/>
      <c r="U77" s="162"/>
      <c r="V77" s="91"/>
      <c r="W77" s="91"/>
    </row>
    <row r="78" ht="12.75" customHeight="1">
      <c r="A78" s="7"/>
      <c r="B78" s="10"/>
      <c r="C78" s="9">
        <v>0.33</v>
      </c>
      <c r="D78" s="76"/>
      <c r="E78" s="162"/>
      <c r="F78" s="162"/>
      <c r="G78" s="162"/>
      <c r="H78" s="162"/>
      <c r="I78" s="162"/>
      <c r="J78" s="162"/>
      <c r="K78" s="91"/>
      <c r="L78" s="88"/>
      <c r="N78" s="7"/>
      <c r="O78" s="10"/>
      <c r="P78" s="10"/>
      <c r="Q78" s="10"/>
      <c r="R78" s="10"/>
      <c r="S78" s="162"/>
      <c r="T78" s="162"/>
      <c r="U78" s="162"/>
      <c r="V78" s="91"/>
      <c r="W78" s="88"/>
    </row>
    <row r="79" ht="12.75" customHeight="1">
      <c r="A79" s="7"/>
      <c r="B79" s="10"/>
      <c r="C79" s="9">
        <v>0.424</v>
      </c>
      <c r="D79" s="76"/>
      <c r="E79" s="162"/>
      <c r="F79" s="162"/>
      <c r="G79" s="162"/>
      <c r="H79" s="162"/>
      <c r="I79" s="162"/>
      <c r="J79" s="162"/>
      <c r="K79" s="91"/>
      <c r="L79" s="91"/>
      <c r="N79" s="7"/>
      <c r="O79" s="10"/>
      <c r="P79" s="10"/>
      <c r="Q79" s="10"/>
      <c r="R79" s="10"/>
      <c r="S79" s="162"/>
      <c r="T79" s="162"/>
      <c r="U79" s="162"/>
      <c r="V79" s="91"/>
      <c r="W79" s="91"/>
    </row>
    <row r="80" ht="12.75" customHeight="1">
      <c r="A80" s="7"/>
      <c r="B80" s="10"/>
      <c r="C80" s="9">
        <v>0.518</v>
      </c>
      <c r="D80" s="76"/>
      <c r="E80" s="162"/>
      <c r="F80" s="162"/>
      <c r="G80" s="162"/>
      <c r="H80" s="162"/>
      <c r="I80" s="162"/>
      <c r="J80" s="162"/>
      <c r="K80" s="91"/>
      <c r="L80" s="91"/>
      <c r="N80" s="7"/>
      <c r="O80" s="10"/>
      <c r="P80" s="10"/>
      <c r="Q80" s="10"/>
      <c r="R80" s="10"/>
      <c r="S80" s="162"/>
      <c r="T80" s="162"/>
      <c r="U80" s="162"/>
      <c r="V80" s="91"/>
      <c r="W80" s="91"/>
    </row>
    <row r="81" ht="12.75" customHeight="1">
      <c r="A81" s="7"/>
      <c r="B81" s="10"/>
      <c r="C81" s="10"/>
      <c r="D81" s="76"/>
      <c r="E81" s="162"/>
      <c r="F81" s="162"/>
      <c r="G81" s="162"/>
      <c r="H81" s="162"/>
      <c r="I81" s="162"/>
      <c r="J81" s="162"/>
      <c r="K81" s="91"/>
      <c r="L81" s="163"/>
      <c r="N81" s="7"/>
      <c r="O81" s="10"/>
      <c r="P81" s="10"/>
      <c r="Q81" s="10"/>
      <c r="R81" s="10"/>
      <c r="S81" s="162"/>
      <c r="T81" s="162"/>
      <c r="U81" s="162"/>
      <c r="V81" s="91"/>
      <c r="W81" s="88"/>
    </row>
    <row r="82" ht="12.75" customHeight="1">
      <c r="A82" s="7"/>
      <c r="B82" s="10"/>
      <c r="C82" s="10"/>
      <c r="D82" s="76"/>
      <c r="E82" s="162"/>
      <c r="F82" s="162"/>
      <c r="G82" s="162"/>
      <c r="H82" s="162"/>
      <c r="I82" s="162"/>
      <c r="J82" s="162"/>
      <c r="K82" s="91"/>
      <c r="L82" s="91"/>
      <c r="N82" s="7"/>
      <c r="O82" s="10"/>
      <c r="P82" s="10"/>
      <c r="Q82" s="10"/>
      <c r="R82" s="10"/>
      <c r="S82" s="162"/>
      <c r="T82" s="162"/>
      <c r="U82" s="162"/>
      <c r="V82" s="91"/>
      <c r="W82" s="91"/>
    </row>
    <row r="83" ht="12.75" customHeight="1">
      <c r="A83" s="7"/>
      <c r="B83" s="10"/>
      <c r="C83" s="10"/>
      <c r="D83" s="10"/>
      <c r="E83" s="162"/>
      <c r="F83" s="162"/>
      <c r="G83" s="162"/>
      <c r="H83" s="162"/>
      <c r="I83" s="162"/>
      <c r="J83" s="162"/>
      <c r="K83" s="91"/>
      <c r="N83" s="7"/>
      <c r="O83" s="10"/>
      <c r="P83" s="10"/>
      <c r="Q83" s="10"/>
      <c r="R83" s="10"/>
      <c r="S83" s="162"/>
      <c r="T83" s="162"/>
      <c r="U83" s="162"/>
      <c r="V83" s="91"/>
    </row>
    <row r="84" ht="12.75" customHeight="1">
      <c r="A84" s="7"/>
      <c r="B84" s="10"/>
      <c r="C84" s="10"/>
      <c r="D84" s="10"/>
      <c r="E84" s="162"/>
      <c r="F84" s="162"/>
      <c r="G84" s="162"/>
      <c r="H84" s="162"/>
      <c r="I84" s="162"/>
      <c r="J84" s="162"/>
      <c r="K84" s="91"/>
      <c r="L84" s="88"/>
      <c r="N84" s="7"/>
      <c r="O84" s="10"/>
      <c r="P84" s="10"/>
      <c r="Q84" s="10"/>
      <c r="R84" s="10"/>
      <c r="S84" s="162"/>
      <c r="T84" s="162"/>
      <c r="U84" s="162"/>
      <c r="V84" s="91"/>
      <c r="W84" s="91"/>
    </row>
    <row r="85" ht="12.75" customHeight="1">
      <c r="A85" s="7"/>
      <c r="D85" s="10"/>
      <c r="E85" s="162"/>
      <c r="F85" s="162"/>
      <c r="G85" s="162"/>
      <c r="H85" s="162"/>
      <c r="L85" s="91"/>
      <c r="N85" s="7"/>
      <c r="O85" s="10"/>
      <c r="P85" s="10"/>
      <c r="Q85" s="10"/>
      <c r="R85" s="10"/>
      <c r="S85" s="162"/>
      <c r="T85" s="162"/>
      <c r="U85" s="162"/>
      <c r="V85" s="91"/>
      <c r="W85" s="88"/>
    </row>
    <row r="86" ht="12.75" customHeight="1">
      <c r="A86" s="7"/>
      <c r="D86" s="10"/>
      <c r="E86" s="162"/>
      <c r="F86" s="162"/>
      <c r="G86" s="162"/>
      <c r="H86" s="162"/>
      <c r="K86" s="7"/>
      <c r="L86" s="7"/>
      <c r="N86" s="7"/>
      <c r="O86" s="76"/>
      <c r="P86" s="76"/>
      <c r="Q86" s="76"/>
      <c r="R86" s="76"/>
      <c r="S86" s="162"/>
      <c r="T86" s="162"/>
      <c r="U86" s="162"/>
      <c r="V86" s="7"/>
      <c r="W86" s="7"/>
    </row>
    <row r="87" ht="12.75" customHeight="1">
      <c r="A87" s="7"/>
      <c r="D87" s="10"/>
      <c r="E87" s="162"/>
      <c r="F87" s="162"/>
      <c r="G87" s="162"/>
      <c r="H87" s="162"/>
      <c r="K87" s="7"/>
      <c r="L87" s="7"/>
    </row>
    <row r="88" ht="12.75" customHeight="1">
      <c r="A88" s="7"/>
      <c r="D88" s="10"/>
      <c r="E88" s="162"/>
      <c r="F88" s="162"/>
      <c r="G88" s="162"/>
      <c r="H88" s="162"/>
    </row>
    <row r="89" ht="12.75" customHeight="1">
      <c r="A89" s="7"/>
      <c r="B89" s="10"/>
      <c r="C89" s="10"/>
      <c r="D89" s="76"/>
      <c r="E89" s="162"/>
      <c r="F89" s="162"/>
      <c r="G89" s="162"/>
      <c r="H89" s="162"/>
      <c r="I89" s="162"/>
      <c r="J89" s="162"/>
    </row>
    <row r="90" ht="12.75" customHeight="1">
      <c r="A90" s="7"/>
      <c r="B90" s="128"/>
      <c r="C90" s="128"/>
      <c r="D90" s="76"/>
      <c r="E90" s="162"/>
      <c r="F90" s="162"/>
      <c r="G90" s="162"/>
      <c r="H90" s="162"/>
      <c r="I90" s="162"/>
      <c r="J90" s="162"/>
    </row>
    <row r="91" ht="12.75" customHeight="1">
      <c r="A91" s="7"/>
      <c r="B91" s="128"/>
      <c r="C91" s="128"/>
      <c r="D91" s="76"/>
      <c r="E91" s="162"/>
      <c r="F91" s="162"/>
      <c r="G91" s="162"/>
      <c r="H91" s="162"/>
      <c r="I91" s="162"/>
      <c r="J91" s="162"/>
    </row>
    <row r="92" ht="12.75" customHeight="1">
      <c r="A92" s="7"/>
      <c r="B92" s="128"/>
      <c r="C92" s="128"/>
      <c r="D92" s="76"/>
      <c r="E92" s="162"/>
      <c r="F92" s="162"/>
      <c r="G92" s="162"/>
      <c r="H92" s="162"/>
      <c r="I92" s="162"/>
      <c r="J92" s="162"/>
    </row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4">
    <mergeCell ref="A19:D19"/>
    <mergeCell ref="A20:D20"/>
    <mergeCell ref="A21:D21"/>
    <mergeCell ref="A46:D46"/>
  </mergeCells>
  <printOptions/>
  <pageMargins bottom="0.75" footer="0.0" header="0.0" left="0.7" right="0.7" top="0.75"/>
  <pageSetup scale="90"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3" width="8.5"/>
    <col customWidth="1" min="4" max="4" width="10.25"/>
    <col customWidth="1" min="5" max="5" width="7.0"/>
    <col customWidth="1" min="6" max="6" width="8.13"/>
    <col customWidth="1" min="7" max="7" width="8.88"/>
    <col customWidth="1" min="8" max="8" width="7.25"/>
    <col customWidth="1" min="9" max="9" width="7.0"/>
    <col customWidth="1" min="10" max="10" width="7.88"/>
    <col customWidth="1" min="11" max="11" width="8.0"/>
    <col customWidth="1" min="12" max="12" width="8.13"/>
    <col customWidth="1" min="13" max="13" width="7.0"/>
    <col customWidth="1" min="14" max="14" width="11.25"/>
    <col customWidth="1" min="15" max="27" width="7.0"/>
  </cols>
  <sheetData>
    <row r="1">
      <c r="A1" s="1"/>
      <c r="H1" s="2" t="s">
        <v>0</v>
      </c>
      <c r="J1" s="3"/>
    </row>
    <row r="2" ht="12.75" customHeight="1">
      <c r="A2" t="s">
        <v>1</v>
      </c>
    </row>
    <row r="3" ht="12.75" customHeight="1">
      <c r="H3" s="4" t="s">
        <v>2</v>
      </c>
      <c r="I3" s="4"/>
      <c r="J3" s="4"/>
      <c r="K3" s="4" t="s">
        <v>3</v>
      </c>
    </row>
    <row r="4" ht="12.75" customHeight="1">
      <c r="A4" s="5" t="s">
        <v>4</v>
      </c>
      <c r="B4" s="6">
        <v>8.0</v>
      </c>
      <c r="C4" s="6"/>
      <c r="H4" s="7" t="s">
        <v>5</v>
      </c>
      <c r="I4" s="8">
        <v>0.06</v>
      </c>
      <c r="J4" t="s">
        <v>6</v>
      </c>
      <c r="K4" s="9">
        <v>0.166</v>
      </c>
      <c r="L4" t="s">
        <v>6</v>
      </c>
      <c r="S4" s="10"/>
    </row>
    <row r="5" ht="12.75" customHeight="1">
      <c r="A5" s="5" t="s">
        <v>8</v>
      </c>
      <c r="B5" s="6">
        <v>6.0</v>
      </c>
      <c r="C5" s="6"/>
      <c r="H5" s="7" t="s">
        <v>9</v>
      </c>
      <c r="I5" s="8">
        <v>0.067</v>
      </c>
      <c r="K5" s="9">
        <v>0.184</v>
      </c>
      <c r="S5" s="10"/>
    </row>
    <row r="6" ht="12.75" customHeight="1">
      <c r="A6" s="5" t="s">
        <v>10</v>
      </c>
      <c r="B6" s="12" t="s">
        <v>11</v>
      </c>
      <c r="C6" s="12"/>
      <c r="H6" s="7" t="s">
        <v>13</v>
      </c>
      <c r="I6" s="8">
        <v>0.072</v>
      </c>
      <c r="K6" s="9">
        <v>0.206</v>
      </c>
      <c r="S6" s="10"/>
    </row>
    <row r="7" ht="12.75" customHeight="1">
      <c r="A7" s="5" t="s">
        <v>14</v>
      </c>
      <c r="B7" s="13">
        <v>0.215</v>
      </c>
      <c r="C7" s="13"/>
      <c r="H7" s="7" t="s">
        <v>16</v>
      </c>
      <c r="I7" s="8">
        <v>0.084</v>
      </c>
      <c r="K7" s="9">
        <v>0.214</v>
      </c>
      <c r="S7" s="10"/>
    </row>
    <row r="8" ht="12.75" customHeight="1">
      <c r="C8" s="14"/>
      <c r="H8" s="7"/>
      <c r="I8" s="11"/>
      <c r="K8" s="16"/>
      <c r="S8" s="10"/>
    </row>
    <row r="9" ht="12.75" customHeight="1">
      <c r="H9" s="7"/>
      <c r="I9" s="11"/>
      <c r="K9" s="9"/>
      <c r="S9" s="10"/>
    </row>
    <row r="10" ht="12.75" customHeight="1">
      <c r="H10" s="7" t="s">
        <v>17</v>
      </c>
      <c r="I10" s="8">
        <v>0.104</v>
      </c>
      <c r="K10" s="9">
        <v>0.22</v>
      </c>
      <c r="S10" s="10"/>
    </row>
    <row r="11" ht="12.75" customHeight="1">
      <c r="H11" s="7" t="s">
        <v>18</v>
      </c>
      <c r="I11" s="8">
        <v>0.123</v>
      </c>
      <c r="K11" s="9">
        <v>0.244</v>
      </c>
      <c r="S11" s="10"/>
    </row>
    <row r="12" ht="12.75" customHeight="1">
      <c r="H12" s="7" t="s">
        <v>19</v>
      </c>
      <c r="I12" s="8">
        <v>0.137</v>
      </c>
      <c r="K12" s="9">
        <v>0.258</v>
      </c>
      <c r="S12" s="10"/>
    </row>
    <row r="13" ht="12.75" customHeight="1">
      <c r="H13" s="7" t="s">
        <v>20</v>
      </c>
      <c r="I13" s="8">
        <v>0.152</v>
      </c>
      <c r="K13" s="9">
        <v>0.272</v>
      </c>
      <c r="S13" s="10"/>
    </row>
    <row r="14" ht="12.75" customHeight="1">
      <c r="H14" s="7" t="s">
        <v>21</v>
      </c>
      <c r="I14" s="8">
        <v>0.166</v>
      </c>
      <c r="K14" s="9">
        <v>0.298</v>
      </c>
      <c r="S14" s="10"/>
    </row>
    <row r="15" ht="12.75" customHeight="1">
      <c r="H15" s="7" t="s">
        <v>22</v>
      </c>
      <c r="I15" s="8">
        <v>0.184</v>
      </c>
      <c r="K15" s="9">
        <v>0.316</v>
      </c>
      <c r="S15" s="10"/>
    </row>
    <row r="16" ht="12.75" customHeight="1">
      <c r="H16" s="7" t="s">
        <v>23</v>
      </c>
      <c r="I16" s="8">
        <v>0.206</v>
      </c>
      <c r="K16" s="9">
        <v>0.334</v>
      </c>
      <c r="S16" s="10"/>
    </row>
    <row r="17" ht="12.75" customHeight="1">
      <c r="H17" s="7" t="s">
        <v>24</v>
      </c>
      <c r="I17" s="8">
        <v>0.206</v>
      </c>
      <c r="J17" t="s">
        <v>6</v>
      </c>
      <c r="K17" s="9">
        <v>0.334</v>
      </c>
      <c r="L17" t="s">
        <v>6</v>
      </c>
      <c r="S17" s="10"/>
    </row>
    <row r="18" ht="12.75" customHeight="1">
      <c r="H18" s="17" t="s">
        <v>25</v>
      </c>
      <c r="I18" s="18">
        <f>I17</f>
        <v>0.206</v>
      </c>
      <c r="J18" s="19"/>
      <c r="K18" s="18">
        <f>K17</f>
        <v>0.334</v>
      </c>
      <c r="L18" s="18"/>
      <c r="N18" s="20"/>
      <c r="S18" s="10"/>
    </row>
    <row r="19" ht="13.5" customHeight="1">
      <c r="A19" s="4" t="s">
        <v>26</v>
      </c>
      <c r="E19" s="21">
        <v>0.07</v>
      </c>
      <c r="H19" s="23"/>
      <c r="I19" s="18">
        <f>I17</f>
        <v>0.206</v>
      </c>
      <c r="J19" s="19"/>
      <c r="K19" s="17">
        <v>0.294</v>
      </c>
      <c r="L19" s="18"/>
      <c r="N19" s="20"/>
      <c r="S19" s="10"/>
    </row>
    <row r="20" ht="13.5" customHeight="1">
      <c r="A20" s="4" t="s">
        <v>28</v>
      </c>
      <c r="E20" s="25">
        <v>0.03</v>
      </c>
      <c r="K20" s="7"/>
      <c r="L20" s="26"/>
      <c r="N20" s="20"/>
      <c r="S20" s="10"/>
    </row>
    <row r="21">
      <c r="A21" s="29" t="s">
        <v>29</v>
      </c>
      <c r="B21" s="31"/>
      <c r="C21" s="31"/>
      <c r="D21" s="31"/>
      <c r="E21" s="32"/>
      <c r="H21" s="32"/>
      <c r="K21" s="7"/>
    </row>
    <row r="22" ht="12.75" customHeight="1">
      <c r="A22" s="33"/>
      <c r="B22" s="34"/>
      <c r="C22" s="34"/>
      <c r="D22" s="36" t="s">
        <v>31</v>
      </c>
      <c r="E22" s="36" t="s">
        <v>33</v>
      </c>
      <c r="F22" s="37" t="s">
        <v>35</v>
      </c>
      <c r="G22" s="38" t="s">
        <v>36</v>
      </c>
      <c r="H22" s="39" t="s">
        <v>37</v>
      </c>
      <c r="I22" s="40" t="s">
        <v>38</v>
      </c>
      <c r="J22" s="41" t="s">
        <v>39</v>
      </c>
      <c r="K22" s="42"/>
      <c r="M22" s="43" t="s">
        <v>33</v>
      </c>
      <c r="N22" s="44" t="s">
        <v>40</v>
      </c>
      <c r="P22" s="46"/>
    </row>
    <row r="23" ht="12.75" customHeight="1">
      <c r="A23" s="48"/>
      <c r="B23" s="7" t="s">
        <v>2</v>
      </c>
      <c r="C23" s="7"/>
      <c r="D23" s="49" t="s">
        <v>43</v>
      </c>
      <c r="E23" s="7" t="s">
        <v>44</v>
      </c>
      <c r="F23" s="52"/>
      <c r="G23" s="53" t="s">
        <v>46</v>
      </c>
      <c r="H23" s="54" t="s">
        <v>46</v>
      </c>
      <c r="I23" s="56" t="s">
        <v>47</v>
      </c>
      <c r="J23" s="58" t="s">
        <v>37</v>
      </c>
      <c r="K23" s="59" t="s">
        <v>33</v>
      </c>
      <c r="M23" s="60"/>
      <c r="N23" s="61" t="s">
        <v>48</v>
      </c>
      <c r="P23" s="7"/>
      <c r="X23" s="20"/>
    </row>
    <row r="24" ht="13.5" customHeight="1">
      <c r="A24" s="62"/>
      <c r="B24" s="63" t="s">
        <v>5</v>
      </c>
      <c r="C24" s="63"/>
      <c r="D24" s="65">
        <f t="shared" ref="D24:D27" si="1">I4</f>
        <v>0.06</v>
      </c>
      <c r="E24" s="66">
        <v>13.0</v>
      </c>
      <c r="F24" s="67">
        <f t="shared" ref="F24:F32" si="2">(J25-J24)+F25</f>
        <v>0.073</v>
      </c>
      <c r="G24" s="68">
        <f t="shared" ref="G24:G34" si="3">J24+$E$19</f>
        <v>0.1</v>
      </c>
      <c r="H24" s="70">
        <f t="shared" ref="H24:H41" si="4">J24+$E$20</f>
        <v>0.06</v>
      </c>
      <c r="I24" s="71">
        <f t="shared" ref="I24:I41" si="5">J24+0.003</f>
        <v>0.033</v>
      </c>
      <c r="J24" s="72">
        <f t="shared" ref="J24:J41" si="6">D24/2</f>
        <v>0.03</v>
      </c>
      <c r="K24" s="73" t="s">
        <v>49</v>
      </c>
      <c r="M24" s="74" t="s">
        <v>49</v>
      </c>
      <c r="N24" s="75"/>
      <c r="P24" s="76"/>
      <c r="X24" s="20"/>
    </row>
    <row r="25" ht="13.5" customHeight="1">
      <c r="A25" s="77" t="s">
        <v>50</v>
      </c>
      <c r="B25" s="7" t="s">
        <v>9</v>
      </c>
      <c r="C25" s="7"/>
      <c r="D25" s="76">
        <f t="shared" si="1"/>
        <v>0.067</v>
      </c>
      <c r="E25" s="79">
        <v>12.0</v>
      </c>
      <c r="F25" s="80">
        <f t="shared" si="2"/>
        <v>0.0695</v>
      </c>
      <c r="G25" s="81">
        <f t="shared" si="3"/>
        <v>0.1035</v>
      </c>
      <c r="H25" s="82">
        <f t="shared" si="4"/>
        <v>0.0635</v>
      </c>
      <c r="I25" s="83">
        <f t="shared" si="5"/>
        <v>0.0365</v>
      </c>
      <c r="J25" s="85">
        <f t="shared" si="6"/>
        <v>0.0335</v>
      </c>
      <c r="K25" s="86" t="s">
        <v>51</v>
      </c>
      <c r="M25" s="87" t="s">
        <v>51</v>
      </c>
      <c r="N25" s="75"/>
      <c r="P25" s="76"/>
      <c r="V25" s="88"/>
      <c r="X25" s="4"/>
    </row>
    <row r="26" ht="13.5" customHeight="1">
      <c r="A26" s="62"/>
      <c r="B26" s="63" t="s">
        <v>13</v>
      </c>
      <c r="C26" s="63"/>
      <c r="D26" s="65">
        <f t="shared" si="1"/>
        <v>0.072</v>
      </c>
      <c r="E26" s="66">
        <v>11.0</v>
      </c>
      <c r="F26" s="90">
        <f t="shared" si="2"/>
        <v>0.067</v>
      </c>
      <c r="G26" s="68">
        <f t="shared" si="3"/>
        <v>0.106</v>
      </c>
      <c r="H26" s="70">
        <f t="shared" si="4"/>
        <v>0.066</v>
      </c>
      <c r="I26" s="71">
        <f t="shared" si="5"/>
        <v>0.039</v>
      </c>
      <c r="J26" s="72">
        <f t="shared" si="6"/>
        <v>0.036</v>
      </c>
      <c r="K26" s="73" t="s">
        <v>52</v>
      </c>
      <c r="M26" s="74" t="s">
        <v>52</v>
      </c>
      <c r="N26" s="75"/>
      <c r="P26" s="76"/>
      <c r="V26" s="91"/>
      <c r="X26" s="4"/>
    </row>
    <row r="27" ht="13.5" customHeight="1">
      <c r="A27" s="48"/>
      <c r="B27" s="7" t="s">
        <v>16</v>
      </c>
      <c r="C27" s="7"/>
      <c r="D27" s="76">
        <f t="shared" si="1"/>
        <v>0.084</v>
      </c>
      <c r="E27" s="79">
        <v>10.0</v>
      </c>
      <c r="F27" s="80">
        <f t="shared" si="2"/>
        <v>0.061</v>
      </c>
      <c r="G27" s="81">
        <f t="shared" si="3"/>
        <v>0.112</v>
      </c>
      <c r="H27" s="82">
        <f t="shared" si="4"/>
        <v>0.072</v>
      </c>
      <c r="I27" s="83">
        <f t="shared" si="5"/>
        <v>0.045</v>
      </c>
      <c r="J27" s="85">
        <f t="shared" si="6"/>
        <v>0.042</v>
      </c>
      <c r="K27" s="86" t="s">
        <v>53</v>
      </c>
      <c r="M27" s="87" t="s">
        <v>53</v>
      </c>
      <c r="N27" s="75"/>
      <c r="P27" s="76"/>
      <c r="V27" s="91"/>
      <c r="X27" s="20"/>
    </row>
    <row r="28" ht="13.5" customHeight="1">
      <c r="A28" s="62"/>
      <c r="B28" s="63" t="s">
        <v>17</v>
      </c>
      <c r="C28" s="63"/>
      <c r="D28" s="65">
        <f t="shared" ref="D28:D33" si="7">I10</f>
        <v>0.104</v>
      </c>
      <c r="E28" s="66">
        <v>9.0</v>
      </c>
      <c r="F28" s="90">
        <f t="shared" si="2"/>
        <v>0.051</v>
      </c>
      <c r="G28" s="68">
        <f t="shared" si="3"/>
        <v>0.122</v>
      </c>
      <c r="H28" s="70">
        <f t="shared" si="4"/>
        <v>0.082</v>
      </c>
      <c r="I28" s="71">
        <f t="shared" si="5"/>
        <v>0.055</v>
      </c>
      <c r="J28" s="72">
        <f t="shared" si="6"/>
        <v>0.052</v>
      </c>
      <c r="K28" s="73" t="s">
        <v>54</v>
      </c>
      <c r="M28" s="74" t="s">
        <v>54</v>
      </c>
      <c r="N28" s="75"/>
      <c r="P28" s="76"/>
      <c r="V28" s="88"/>
    </row>
    <row r="29" ht="13.5" customHeight="1">
      <c r="A29" s="48"/>
      <c r="B29" s="7" t="s">
        <v>18</v>
      </c>
      <c r="C29" s="7"/>
      <c r="D29" s="76">
        <f t="shared" si="7"/>
        <v>0.123</v>
      </c>
      <c r="E29" s="79">
        <v>8.0</v>
      </c>
      <c r="F29" s="80">
        <f t="shared" si="2"/>
        <v>0.0415</v>
      </c>
      <c r="G29" s="81">
        <f t="shared" si="3"/>
        <v>0.1315</v>
      </c>
      <c r="H29" s="82">
        <f t="shared" si="4"/>
        <v>0.0915</v>
      </c>
      <c r="I29" s="83">
        <f t="shared" si="5"/>
        <v>0.0645</v>
      </c>
      <c r="J29" s="85">
        <f t="shared" si="6"/>
        <v>0.0615</v>
      </c>
      <c r="K29" s="86" t="s">
        <v>55</v>
      </c>
      <c r="M29" s="87" t="s">
        <v>55</v>
      </c>
      <c r="N29" s="75"/>
      <c r="P29" s="76"/>
      <c r="V29" s="91"/>
    </row>
    <row r="30" ht="13.5" customHeight="1">
      <c r="A30" s="62"/>
      <c r="B30" s="63" t="s">
        <v>19</v>
      </c>
      <c r="C30" s="63"/>
      <c r="D30" s="65">
        <f t="shared" si="7"/>
        <v>0.137</v>
      </c>
      <c r="E30" s="66">
        <v>7.0</v>
      </c>
      <c r="F30" s="90">
        <f t="shared" si="2"/>
        <v>0.0345</v>
      </c>
      <c r="G30" s="68">
        <f t="shared" si="3"/>
        <v>0.1385</v>
      </c>
      <c r="H30" s="70">
        <f t="shared" si="4"/>
        <v>0.0985</v>
      </c>
      <c r="I30" s="71">
        <f t="shared" si="5"/>
        <v>0.0715</v>
      </c>
      <c r="J30" s="72">
        <f t="shared" si="6"/>
        <v>0.0685</v>
      </c>
      <c r="K30" s="73" t="s">
        <v>56</v>
      </c>
      <c r="M30" s="74" t="s">
        <v>56</v>
      </c>
      <c r="N30" s="75"/>
      <c r="P30" s="76"/>
      <c r="V30" s="91"/>
    </row>
    <row r="31" ht="13.5" customHeight="1">
      <c r="A31" s="48"/>
      <c r="B31" s="7" t="s">
        <v>20</v>
      </c>
      <c r="C31" s="7"/>
      <c r="D31" s="76">
        <f t="shared" si="7"/>
        <v>0.152</v>
      </c>
      <c r="E31" s="79">
        <v>6.0</v>
      </c>
      <c r="F31" s="80">
        <f t="shared" si="2"/>
        <v>0.027</v>
      </c>
      <c r="G31" s="81">
        <f t="shared" si="3"/>
        <v>0.146</v>
      </c>
      <c r="H31" s="82">
        <f t="shared" si="4"/>
        <v>0.106</v>
      </c>
      <c r="I31" s="83">
        <f t="shared" si="5"/>
        <v>0.079</v>
      </c>
      <c r="J31" s="85">
        <f t="shared" si="6"/>
        <v>0.076</v>
      </c>
      <c r="K31" s="86" t="s">
        <v>57</v>
      </c>
      <c r="M31" s="87" t="s">
        <v>57</v>
      </c>
      <c r="N31" s="75"/>
      <c r="P31" s="76"/>
      <c r="V31" s="88"/>
    </row>
    <row r="32" ht="13.5" customHeight="1">
      <c r="A32" s="62"/>
      <c r="B32" s="63" t="s">
        <v>21</v>
      </c>
      <c r="C32" s="63"/>
      <c r="D32" s="65">
        <f t="shared" si="7"/>
        <v>0.166</v>
      </c>
      <c r="E32" s="66">
        <v>5.0</v>
      </c>
      <c r="F32" s="90">
        <f t="shared" si="2"/>
        <v>0.02</v>
      </c>
      <c r="G32" s="68">
        <f t="shared" si="3"/>
        <v>0.153</v>
      </c>
      <c r="H32" s="70">
        <f t="shared" si="4"/>
        <v>0.113</v>
      </c>
      <c r="I32" s="71">
        <f t="shared" si="5"/>
        <v>0.086</v>
      </c>
      <c r="J32" s="72">
        <f t="shared" si="6"/>
        <v>0.083</v>
      </c>
      <c r="K32" s="73" t="s">
        <v>58</v>
      </c>
      <c r="M32" s="74" t="s">
        <v>58</v>
      </c>
      <c r="N32" s="75"/>
      <c r="P32" s="76"/>
      <c r="V32" s="91"/>
    </row>
    <row r="33" ht="13.5" customHeight="1">
      <c r="A33" s="94"/>
      <c r="B33" s="7" t="s">
        <v>22</v>
      </c>
      <c r="C33" s="7"/>
      <c r="D33" s="76">
        <f t="shared" si="7"/>
        <v>0.184</v>
      </c>
      <c r="E33" s="79">
        <v>4.0</v>
      </c>
      <c r="F33" s="80">
        <f>(J38-J33)+F38</f>
        <v>0.011</v>
      </c>
      <c r="G33" s="81">
        <f t="shared" si="3"/>
        <v>0.162</v>
      </c>
      <c r="H33" s="82">
        <f t="shared" si="4"/>
        <v>0.122</v>
      </c>
      <c r="I33" s="83">
        <f t="shared" si="5"/>
        <v>0.095</v>
      </c>
      <c r="J33" s="85">
        <f t="shared" si="6"/>
        <v>0.092</v>
      </c>
      <c r="K33" s="86" t="s">
        <v>59</v>
      </c>
      <c r="M33" s="87" t="s">
        <v>59</v>
      </c>
      <c r="N33" s="75"/>
      <c r="O33" s="95"/>
      <c r="P33" s="76"/>
    </row>
    <row r="34" ht="13.5" customHeight="1">
      <c r="A34" s="96"/>
      <c r="B34" s="63" t="s">
        <v>60</v>
      </c>
      <c r="C34" s="63"/>
      <c r="D34" s="65">
        <f>MROUND(((D38-D33)/4)+D33,0.001)</f>
        <v>0.19</v>
      </c>
      <c r="E34" s="66"/>
      <c r="F34" s="90" t="s">
        <v>61</v>
      </c>
      <c r="G34" s="68">
        <f t="shared" si="3"/>
        <v>0.165</v>
      </c>
      <c r="H34" s="70">
        <f t="shared" si="4"/>
        <v>0.125</v>
      </c>
      <c r="I34" s="71">
        <f t="shared" si="5"/>
        <v>0.098</v>
      </c>
      <c r="J34" s="72">
        <f t="shared" si="6"/>
        <v>0.095</v>
      </c>
      <c r="K34" s="101"/>
      <c r="M34" s="102"/>
      <c r="N34" s="75"/>
      <c r="P34" s="76"/>
      <c r="V34" s="91"/>
    </row>
    <row r="35" ht="13.5" customHeight="1">
      <c r="A35" s="77"/>
      <c r="B35" s="7" t="s">
        <v>62</v>
      </c>
      <c r="C35" s="7"/>
      <c r="D35" s="76">
        <f>MROUND(((D38-D33)/4)+D34,0.001)</f>
        <v>0.196</v>
      </c>
      <c r="E35" s="79"/>
      <c r="F35" s="80" t="s">
        <v>61</v>
      </c>
      <c r="G35" s="81">
        <f t="shared" ref="G35:G37" si="8">J35+0.07</f>
        <v>0.168</v>
      </c>
      <c r="H35" s="82">
        <f t="shared" si="4"/>
        <v>0.128</v>
      </c>
      <c r="I35" s="83">
        <f t="shared" si="5"/>
        <v>0.101</v>
      </c>
      <c r="J35" s="85">
        <f t="shared" si="6"/>
        <v>0.098</v>
      </c>
      <c r="K35" s="106"/>
      <c r="M35" s="94"/>
      <c r="N35" s="75"/>
      <c r="P35" s="107"/>
      <c r="V35" s="88"/>
    </row>
    <row r="36" ht="13.5" customHeight="1">
      <c r="A36" s="96"/>
      <c r="B36" s="63" t="s">
        <v>63</v>
      </c>
      <c r="C36" s="63"/>
      <c r="D36" s="65">
        <f>MROUND(((D38-D33)/4)+D35,0.001)</f>
        <v>0.202</v>
      </c>
      <c r="E36" s="66"/>
      <c r="F36" s="90" t="s">
        <v>61</v>
      </c>
      <c r="G36" s="68">
        <f t="shared" si="8"/>
        <v>0.171</v>
      </c>
      <c r="H36" s="70">
        <f t="shared" si="4"/>
        <v>0.131</v>
      </c>
      <c r="I36" s="71">
        <f t="shared" si="5"/>
        <v>0.104</v>
      </c>
      <c r="J36" s="72">
        <f t="shared" si="6"/>
        <v>0.101</v>
      </c>
      <c r="K36" s="101"/>
      <c r="M36" s="102"/>
      <c r="N36" s="75"/>
      <c r="P36" s="76"/>
      <c r="V36" s="7"/>
    </row>
    <row r="37" ht="13.5" customHeight="1">
      <c r="A37" s="94"/>
      <c r="B37" s="7" t="s">
        <v>64</v>
      </c>
      <c r="C37" s="7"/>
      <c r="D37" s="76">
        <f>MROUND(((D38-D33)/4)+D36,0.001)</f>
        <v>0.208</v>
      </c>
      <c r="E37" s="79"/>
      <c r="F37" s="80" t="s">
        <v>61</v>
      </c>
      <c r="G37" s="81">
        <f t="shared" si="8"/>
        <v>0.174</v>
      </c>
      <c r="H37" s="82">
        <f t="shared" si="4"/>
        <v>0.134</v>
      </c>
      <c r="I37" s="83">
        <f t="shared" si="5"/>
        <v>0.107</v>
      </c>
      <c r="J37" s="85">
        <f t="shared" si="6"/>
        <v>0.104</v>
      </c>
      <c r="K37" s="106"/>
      <c r="M37" s="94"/>
      <c r="N37" s="75"/>
      <c r="P37" s="76"/>
    </row>
    <row r="38" ht="13.5" customHeight="1">
      <c r="A38" s="96"/>
      <c r="B38" s="63" t="s">
        <v>23</v>
      </c>
      <c r="C38" s="63"/>
      <c r="D38" s="65">
        <f t="shared" ref="D38:D41" si="9">I16</f>
        <v>0.206</v>
      </c>
      <c r="E38" s="66">
        <v>3.0</v>
      </c>
      <c r="F38" s="90">
        <f t="shared" ref="F38:F40" si="10">(J39-J38)+F39</f>
        <v>0</v>
      </c>
      <c r="G38" s="68">
        <f t="shared" ref="G38:G39" si="11">J38+$E$19</f>
        <v>0.173</v>
      </c>
      <c r="H38" s="70">
        <f t="shared" si="4"/>
        <v>0.133</v>
      </c>
      <c r="I38" s="71">
        <f t="shared" si="5"/>
        <v>0.106</v>
      </c>
      <c r="J38" s="72">
        <f t="shared" si="6"/>
        <v>0.103</v>
      </c>
      <c r="K38" s="73" t="s">
        <v>65</v>
      </c>
      <c r="M38" s="74" t="s">
        <v>65</v>
      </c>
      <c r="N38" s="75"/>
      <c r="O38" s="95"/>
      <c r="P38" s="76"/>
    </row>
    <row r="39" ht="13.5" customHeight="1">
      <c r="A39" s="94"/>
      <c r="B39" s="7" t="s">
        <v>24</v>
      </c>
      <c r="C39" s="7"/>
      <c r="D39" s="76">
        <f t="shared" si="9"/>
        <v>0.206</v>
      </c>
      <c r="E39" s="79">
        <v>2.0</v>
      </c>
      <c r="F39" s="80">
        <f t="shared" si="10"/>
        <v>0</v>
      </c>
      <c r="G39" s="81">
        <f t="shared" si="11"/>
        <v>0.173</v>
      </c>
      <c r="H39" s="82">
        <f t="shared" si="4"/>
        <v>0.133</v>
      </c>
      <c r="I39" s="83">
        <f t="shared" si="5"/>
        <v>0.106</v>
      </c>
      <c r="J39" s="85">
        <f t="shared" si="6"/>
        <v>0.103</v>
      </c>
      <c r="K39" s="86" t="s">
        <v>66</v>
      </c>
      <c r="M39" s="87" t="s">
        <v>66</v>
      </c>
      <c r="N39" s="75"/>
      <c r="P39" s="76"/>
    </row>
    <row r="40" ht="13.5" customHeight="1">
      <c r="A40" s="62"/>
      <c r="B40" s="108" t="s">
        <v>25</v>
      </c>
      <c r="C40" s="108"/>
      <c r="D40" s="109">
        <f t="shared" si="9"/>
        <v>0.206</v>
      </c>
      <c r="E40" s="66">
        <v>1.0</v>
      </c>
      <c r="F40" s="90">
        <f t="shared" si="10"/>
        <v>0</v>
      </c>
      <c r="G40" s="68">
        <f>G41</f>
        <v>0.173</v>
      </c>
      <c r="H40" s="70">
        <f t="shared" si="4"/>
        <v>0.133</v>
      </c>
      <c r="I40" s="71">
        <f t="shared" si="5"/>
        <v>0.106</v>
      </c>
      <c r="J40" s="72">
        <f t="shared" si="6"/>
        <v>0.103</v>
      </c>
      <c r="K40" s="73" t="s">
        <v>67</v>
      </c>
      <c r="M40" s="74" t="s">
        <v>67</v>
      </c>
      <c r="N40" s="75"/>
      <c r="P40" s="76"/>
    </row>
    <row r="41" ht="13.5" customHeight="1">
      <c r="A41" s="112"/>
      <c r="B41" s="113" t="s">
        <v>68</v>
      </c>
      <c r="C41" s="113"/>
      <c r="D41" s="114">
        <f t="shared" si="9"/>
        <v>0.206</v>
      </c>
      <c r="E41" s="115">
        <v>0.0</v>
      </c>
      <c r="F41" s="116">
        <v>0.0</v>
      </c>
      <c r="G41" s="117">
        <f>G39</f>
        <v>0.173</v>
      </c>
      <c r="H41" s="119">
        <f t="shared" si="4"/>
        <v>0.133</v>
      </c>
      <c r="I41" s="121">
        <f t="shared" si="5"/>
        <v>0.106</v>
      </c>
      <c r="J41" s="122">
        <f t="shared" si="6"/>
        <v>0.103</v>
      </c>
      <c r="K41" s="123" t="s">
        <v>70</v>
      </c>
      <c r="M41" s="124" t="s">
        <v>70</v>
      </c>
      <c r="N41" s="125"/>
      <c r="P41" s="76"/>
    </row>
    <row r="42" ht="12.75" customHeight="1">
      <c r="B42" s="7"/>
      <c r="C42" s="7"/>
      <c r="D42" s="76"/>
      <c r="E42" s="76"/>
      <c r="F42" s="76"/>
      <c r="G42" s="76"/>
      <c r="H42" s="76"/>
      <c r="I42" s="76"/>
      <c r="J42" s="76"/>
      <c r="K42" s="91"/>
      <c r="L42" s="49"/>
      <c r="M42" s="7"/>
      <c r="N42" s="126"/>
      <c r="O42" s="126"/>
      <c r="P42" s="126"/>
      <c r="Q42" s="126"/>
      <c r="R42" s="126"/>
      <c r="S42" s="126"/>
      <c r="T42" s="126"/>
      <c r="U42" s="91"/>
    </row>
    <row r="43" ht="12.75" customHeight="1">
      <c r="A43" s="49"/>
      <c r="B43" s="7"/>
      <c r="C43" s="7"/>
      <c r="D43" s="76"/>
      <c r="E43" s="76"/>
      <c r="F43" s="76"/>
      <c r="G43" s="76"/>
      <c r="H43" s="76"/>
      <c r="I43" s="76"/>
      <c r="J43" s="76"/>
      <c r="K43" s="91"/>
      <c r="L43" s="49"/>
      <c r="M43" s="7"/>
      <c r="N43" s="126"/>
      <c r="O43" s="126"/>
      <c r="P43" s="126"/>
      <c r="Q43" s="126"/>
      <c r="R43" s="126"/>
      <c r="S43" s="126"/>
      <c r="T43" s="126"/>
      <c r="U43" s="91"/>
    </row>
    <row r="44" ht="12.75" customHeight="1">
      <c r="B44" s="7"/>
      <c r="C44" s="7"/>
      <c r="D44" s="76"/>
      <c r="E44" s="76"/>
      <c r="F44" s="76"/>
      <c r="G44" s="76"/>
      <c r="H44" s="76"/>
      <c r="I44" s="76"/>
      <c r="J44" s="76"/>
      <c r="K44" s="91"/>
      <c r="L44" s="49"/>
      <c r="M44" s="7"/>
      <c r="N44" s="126"/>
      <c r="O44" s="126"/>
      <c r="P44" s="126"/>
      <c r="Q44" s="126"/>
      <c r="R44" s="126"/>
      <c r="S44" s="126"/>
      <c r="T44" s="126"/>
      <c r="U44" s="91"/>
    </row>
    <row r="45" ht="12.75" customHeight="1">
      <c r="B45" s="7"/>
      <c r="C45" s="7"/>
      <c r="D45" s="76"/>
      <c r="E45" s="76"/>
      <c r="F45" s="76"/>
      <c r="G45" s="76"/>
      <c r="H45" s="76"/>
      <c r="I45" s="76"/>
      <c r="J45" s="76"/>
      <c r="K45" s="91"/>
      <c r="L45" s="49"/>
      <c r="M45" s="7"/>
      <c r="N45" s="126"/>
      <c r="O45" s="126"/>
      <c r="P45" s="126"/>
      <c r="Q45" s="126"/>
      <c r="R45" s="126"/>
      <c r="S45" s="126"/>
      <c r="T45" s="126"/>
      <c r="U45" s="91"/>
    </row>
    <row r="46">
      <c r="A46" s="127" t="s">
        <v>71</v>
      </c>
      <c r="E46" s="127"/>
      <c r="F46" s="127"/>
      <c r="G46" s="127"/>
      <c r="H46" s="127"/>
      <c r="I46" s="128"/>
    </row>
    <row r="47" ht="12.75" customHeight="1">
      <c r="A47" s="129"/>
      <c r="B47" s="34"/>
      <c r="C47" s="34"/>
      <c r="D47" s="36" t="s">
        <v>31</v>
      </c>
      <c r="E47" s="36" t="s">
        <v>33</v>
      </c>
      <c r="F47" s="37" t="s">
        <v>35</v>
      </c>
      <c r="G47" s="38" t="s">
        <v>36</v>
      </c>
      <c r="H47" s="39" t="s">
        <v>37</v>
      </c>
      <c r="I47" s="40" t="s">
        <v>38</v>
      </c>
      <c r="J47" s="41" t="s">
        <v>39</v>
      </c>
      <c r="K47" s="130"/>
      <c r="M47" s="43" t="s">
        <v>33</v>
      </c>
      <c r="N47" s="44" t="s">
        <v>40</v>
      </c>
    </row>
    <row r="48" ht="12.75" customHeight="1">
      <c r="A48" s="131"/>
      <c r="B48" s="7" t="s">
        <v>3</v>
      </c>
      <c r="C48" s="7"/>
      <c r="D48" s="49" t="s">
        <v>43</v>
      </c>
      <c r="E48" s="7" t="s">
        <v>44</v>
      </c>
      <c r="F48" s="52"/>
      <c r="G48" s="53" t="s">
        <v>46</v>
      </c>
      <c r="H48" s="54" t="s">
        <v>46</v>
      </c>
      <c r="I48" s="56" t="s">
        <v>47</v>
      </c>
      <c r="J48" s="58" t="s">
        <v>37</v>
      </c>
      <c r="K48" s="59" t="s">
        <v>33</v>
      </c>
      <c r="M48" s="60"/>
      <c r="N48" s="61" t="s">
        <v>48</v>
      </c>
    </row>
    <row r="49" ht="12.75" customHeight="1">
      <c r="A49" s="62"/>
      <c r="B49" s="63" t="s">
        <v>5</v>
      </c>
      <c r="C49" s="63"/>
      <c r="D49" s="135">
        <f t="shared" ref="D49:D52" si="12">K4</f>
        <v>0.166</v>
      </c>
      <c r="E49" s="133">
        <v>13.0</v>
      </c>
      <c r="F49" s="134">
        <f t="shared" ref="F49:F58" si="13">(D50-D49)/2</f>
        <v>0.009</v>
      </c>
      <c r="G49" s="136">
        <f t="shared" ref="G49:G60" si="14">J49+$E$19</f>
        <v>0.153</v>
      </c>
      <c r="H49" s="70">
        <f t="shared" ref="H49:H60" si="15">J49+$E$20</f>
        <v>0.113</v>
      </c>
      <c r="I49" s="71">
        <f t="shared" ref="I49:I62" si="16">J49+0.003</f>
        <v>0.086</v>
      </c>
      <c r="J49" s="72">
        <f t="shared" ref="J49:J62" si="17">D49/2</f>
        <v>0.083</v>
      </c>
      <c r="K49" s="73" t="s">
        <v>49</v>
      </c>
      <c r="M49" s="74" t="s">
        <v>49</v>
      </c>
      <c r="N49" s="140">
        <f t="shared" ref="N49:N61" si="18">N50+F49</f>
        <v>0.084</v>
      </c>
    </row>
    <row r="50" ht="12.75" customHeight="1">
      <c r="A50" s="77" t="s">
        <v>69</v>
      </c>
      <c r="B50" s="7" t="s">
        <v>9</v>
      </c>
      <c r="C50" s="7"/>
      <c r="D50" s="20">
        <f t="shared" si="12"/>
        <v>0.184</v>
      </c>
      <c r="E50" s="79">
        <v>12.0</v>
      </c>
      <c r="F50" s="134">
        <f t="shared" si="13"/>
        <v>0.011</v>
      </c>
      <c r="G50" s="139">
        <f t="shared" si="14"/>
        <v>0.162</v>
      </c>
      <c r="H50" s="82">
        <f t="shared" si="15"/>
        <v>0.122</v>
      </c>
      <c r="I50" s="83">
        <f t="shared" si="16"/>
        <v>0.095</v>
      </c>
      <c r="J50" s="85">
        <f t="shared" si="17"/>
        <v>0.092</v>
      </c>
      <c r="K50" s="86" t="s">
        <v>51</v>
      </c>
      <c r="M50" s="87" t="s">
        <v>51</v>
      </c>
      <c r="N50" s="140">
        <f t="shared" si="18"/>
        <v>0.075</v>
      </c>
    </row>
    <row r="51" ht="12.75" customHeight="1">
      <c r="A51" s="62"/>
      <c r="B51" s="63" t="s">
        <v>13</v>
      </c>
      <c r="C51" s="63"/>
      <c r="D51" s="135">
        <f t="shared" si="12"/>
        <v>0.206</v>
      </c>
      <c r="E51" s="133">
        <v>11.0</v>
      </c>
      <c r="F51" s="134">
        <f t="shared" si="13"/>
        <v>0.004</v>
      </c>
      <c r="G51" s="136">
        <f t="shared" si="14"/>
        <v>0.173</v>
      </c>
      <c r="H51" s="70">
        <f t="shared" si="15"/>
        <v>0.133</v>
      </c>
      <c r="I51" s="71">
        <f t="shared" si="16"/>
        <v>0.106</v>
      </c>
      <c r="J51" s="72">
        <f t="shared" si="17"/>
        <v>0.103</v>
      </c>
      <c r="K51" s="73" t="s">
        <v>52</v>
      </c>
      <c r="M51" s="74" t="s">
        <v>52</v>
      </c>
      <c r="N51" s="140">
        <f t="shared" si="18"/>
        <v>0.064</v>
      </c>
    </row>
    <row r="52" ht="12.75" customHeight="1">
      <c r="A52" s="48"/>
      <c r="B52" s="7" t="s">
        <v>16</v>
      </c>
      <c r="C52" s="7"/>
      <c r="D52" s="20">
        <f t="shared" si="12"/>
        <v>0.214</v>
      </c>
      <c r="E52" s="79">
        <v>10.0</v>
      </c>
      <c r="F52" s="134">
        <f t="shared" si="13"/>
        <v>0.003</v>
      </c>
      <c r="G52" s="139">
        <f t="shared" si="14"/>
        <v>0.177</v>
      </c>
      <c r="H52" s="82">
        <f t="shared" si="15"/>
        <v>0.137</v>
      </c>
      <c r="I52" s="83">
        <f t="shared" si="16"/>
        <v>0.11</v>
      </c>
      <c r="J52" s="85">
        <f t="shared" si="17"/>
        <v>0.107</v>
      </c>
      <c r="K52" s="86" t="s">
        <v>53</v>
      </c>
      <c r="M52" s="87" t="s">
        <v>53</v>
      </c>
      <c r="N52" s="140">
        <f t="shared" si="18"/>
        <v>0.06</v>
      </c>
    </row>
    <row r="53" ht="12.75" customHeight="1">
      <c r="A53" s="62"/>
      <c r="B53" s="63" t="s">
        <v>17</v>
      </c>
      <c r="C53" s="63"/>
      <c r="D53" s="135">
        <f t="shared" ref="D53:D60" si="19">K10</f>
        <v>0.22</v>
      </c>
      <c r="E53" s="133">
        <v>9.0</v>
      </c>
      <c r="F53" s="134">
        <f t="shared" si="13"/>
        <v>0.012</v>
      </c>
      <c r="G53" s="136">
        <f t="shared" si="14"/>
        <v>0.18</v>
      </c>
      <c r="H53" s="70">
        <f t="shared" si="15"/>
        <v>0.14</v>
      </c>
      <c r="I53" s="71">
        <f t="shared" si="16"/>
        <v>0.113</v>
      </c>
      <c r="J53" s="72">
        <f t="shared" si="17"/>
        <v>0.11</v>
      </c>
      <c r="K53" s="73" t="s">
        <v>54</v>
      </c>
      <c r="M53" s="74" t="s">
        <v>54</v>
      </c>
      <c r="N53" s="140">
        <f t="shared" si="18"/>
        <v>0.057</v>
      </c>
    </row>
    <row r="54" ht="12.75" customHeight="1">
      <c r="A54" s="48"/>
      <c r="B54" s="7" t="s">
        <v>18</v>
      </c>
      <c r="C54" s="7"/>
      <c r="D54" s="20">
        <f t="shared" si="19"/>
        <v>0.244</v>
      </c>
      <c r="E54" s="79">
        <v>8.0</v>
      </c>
      <c r="F54" s="134">
        <f t="shared" si="13"/>
        <v>0.007</v>
      </c>
      <c r="G54" s="139">
        <f t="shared" si="14"/>
        <v>0.192</v>
      </c>
      <c r="H54" s="82">
        <f t="shared" si="15"/>
        <v>0.152</v>
      </c>
      <c r="I54" s="83">
        <f t="shared" si="16"/>
        <v>0.125</v>
      </c>
      <c r="J54" s="85">
        <f t="shared" si="17"/>
        <v>0.122</v>
      </c>
      <c r="K54" s="86" t="s">
        <v>55</v>
      </c>
      <c r="M54" s="87" t="s">
        <v>55</v>
      </c>
      <c r="N54" s="140">
        <f t="shared" si="18"/>
        <v>0.045</v>
      </c>
    </row>
    <row r="55" ht="12.75" customHeight="1">
      <c r="A55" s="62"/>
      <c r="B55" s="63" t="s">
        <v>19</v>
      </c>
      <c r="C55" s="63"/>
      <c r="D55" s="135">
        <f t="shared" si="19"/>
        <v>0.258</v>
      </c>
      <c r="E55" s="133">
        <v>7.0</v>
      </c>
      <c r="F55" s="134">
        <f t="shared" si="13"/>
        <v>0.007</v>
      </c>
      <c r="G55" s="136">
        <f t="shared" si="14"/>
        <v>0.199</v>
      </c>
      <c r="H55" s="70">
        <f t="shared" si="15"/>
        <v>0.159</v>
      </c>
      <c r="I55" s="71">
        <f t="shared" si="16"/>
        <v>0.132</v>
      </c>
      <c r="J55" s="72">
        <f t="shared" si="17"/>
        <v>0.129</v>
      </c>
      <c r="K55" s="73" t="s">
        <v>56</v>
      </c>
      <c r="M55" s="74" t="s">
        <v>56</v>
      </c>
      <c r="N55" s="140">
        <f t="shared" si="18"/>
        <v>0.038</v>
      </c>
    </row>
    <row r="56" ht="12.75" customHeight="1">
      <c r="A56" s="48"/>
      <c r="B56" s="7" t="s">
        <v>20</v>
      </c>
      <c r="C56" s="7"/>
      <c r="D56" s="20">
        <f t="shared" si="19"/>
        <v>0.272</v>
      </c>
      <c r="E56" s="79">
        <v>6.0</v>
      </c>
      <c r="F56" s="134">
        <f t="shared" si="13"/>
        <v>0.013</v>
      </c>
      <c r="G56" s="139">
        <f t="shared" si="14"/>
        <v>0.206</v>
      </c>
      <c r="H56" s="82">
        <f t="shared" si="15"/>
        <v>0.166</v>
      </c>
      <c r="I56" s="83">
        <f t="shared" si="16"/>
        <v>0.139</v>
      </c>
      <c r="J56" s="85">
        <f t="shared" si="17"/>
        <v>0.136</v>
      </c>
      <c r="K56" s="86" t="s">
        <v>57</v>
      </c>
      <c r="M56" s="87" t="s">
        <v>57</v>
      </c>
      <c r="N56" s="140">
        <f t="shared" si="18"/>
        <v>0.031</v>
      </c>
    </row>
    <row r="57" ht="12.75" customHeight="1">
      <c r="A57" s="62"/>
      <c r="B57" s="63" t="s">
        <v>21</v>
      </c>
      <c r="C57" s="63"/>
      <c r="D57" s="135">
        <f t="shared" si="19"/>
        <v>0.298</v>
      </c>
      <c r="E57" s="133">
        <v>5.0</v>
      </c>
      <c r="F57" s="134">
        <f t="shared" si="13"/>
        <v>0.009</v>
      </c>
      <c r="G57" s="136">
        <f t="shared" si="14"/>
        <v>0.219</v>
      </c>
      <c r="H57" s="70">
        <f t="shared" si="15"/>
        <v>0.179</v>
      </c>
      <c r="I57" s="71">
        <f t="shared" si="16"/>
        <v>0.152</v>
      </c>
      <c r="J57" s="72">
        <f t="shared" si="17"/>
        <v>0.149</v>
      </c>
      <c r="K57" s="73" t="s">
        <v>58</v>
      </c>
      <c r="M57" s="74" t="s">
        <v>58</v>
      </c>
      <c r="N57" s="140">
        <f t="shared" si="18"/>
        <v>0.018</v>
      </c>
    </row>
    <row r="58" ht="12.75" customHeight="1">
      <c r="A58" s="48"/>
      <c r="B58" s="7" t="s">
        <v>22</v>
      </c>
      <c r="C58" s="7"/>
      <c r="D58" s="20">
        <f t="shared" si="19"/>
        <v>0.316</v>
      </c>
      <c r="E58" s="79">
        <v>4.0</v>
      </c>
      <c r="F58" s="134">
        <f t="shared" si="13"/>
        <v>0.009</v>
      </c>
      <c r="G58" s="139">
        <f t="shared" si="14"/>
        <v>0.228</v>
      </c>
      <c r="H58" s="82">
        <f t="shared" si="15"/>
        <v>0.188</v>
      </c>
      <c r="I58" s="83">
        <f t="shared" si="16"/>
        <v>0.161</v>
      </c>
      <c r="J58" s="85">
        <f t="shared" si="17"/>
        <v>0.158</v>
      </c>
      <c r="K58" s="86" t="s">
        <v>59</v>
      </c>
      <c r="M58" s="87" t="s">
        <v>59</v>
      </c>
      <c r="N58" s="140">
        <f t="shared" si="18"/>
        <v>0.009</v>
      </c>
    </row>
    <row r="59" ht="12.75" customHeight="1">
      <c r="A59" s="62"/>
      <c r="B59" s="63" t="s">
        <v>23</v>
      </c>
      <c r="C59" s="63"/>
      <c r="D59" s="135">
        <f t="shared" si="19"/>
        <v>0.334</v>
      </c>
      <c r="E59" s="133">
        <v>3.0</v>
      </c>
      <c r="F59" s="134">
        <f>(J60-J59)+F60</f>
        <v>0</v>
      </c>
      <c r="G59" s="136">
        <f t="shared" si="14"/>
        <v>0.237</v>
      </c>
      <c r="H59" s="70">
        <f t="shared" si="15"/>
        <v>0.197</v>
      </c>
      <c r="I59" s="71">
        <f t="shared" si="16"/>
        <v>0.17</v>
      </c>
      <c r="J59" s="72">
        <f t="shared" si="17"/>
        <v>0.167</v>
      </c>
      <c r="K59" s="73" t="s">
        <v>65</v>
      </c>
      <c r="M59" s="74" t="s">
        <v>65</v>
      </c>
      <c r="N59" s="140">
        <f t="shared" si="18"/>
        <v>0</v>
      </c>
    </row>
    <row r="60" ht="12.75" customHeight="1">
      <c r="A60" s="48"/>
      <c r="B60" s="7" t="s">
        <v>24</v>
      </c>
      <c r="C60" s="7"/>
      <c r="D60" s="20">
        <f t="shared" si="19"/>
        <v>0.334</v>
      </c>
      <c r="E60" s="79">
        <v>2.0</v>
      </c>
      <c r="F60" s="134">
        <v>0.0</v>
      </c>
      <c r="G60" s="139">
        <f t="shared" si="14"/>
        <v>0.237</v>
      </c>
      <c r="H60" s="82">
        <f t="shared" si="15"/>
        <v>0.197</v>
      </c>
      <c r="I60" s="83">
        <f t="shared" si="16"/>
        <v>0.17</v>
      </c>
      <c r="J60" s="85">
        <f t="shared" si="17"/>
        <v>0.167</v>
      </c>
      <c r="K60" s="86" t="s">
        <v>66</v>
      </c>
      <c r="M60" s="87" t="s">
        <v>66</v>
      </c>
      <c r="N60" s="140">
        <f t="shared" si="18"/>
        <v>0</v>
      </c>
    </row>
    <row r="61" ht="12.75" customHeight="1">
      <c r="A61" s="62"/>
      <c r="B61" s="63"/>
      <c r="C61" s="63"/>
      <c r="D61" s="154">
        <f>K17</f>
        <v>0.334</v>
      </c>
      <c r="E61" s="133">
        <v>1.0</v>
      </c>
      <c r="F61" s="134">
        <f>(J62-J61)+F62</f>
        <v>0</v>
      </c>
      <c r="G61" s="136">
        <f>G62</f>
        <v>0.237</v>
      </c>
      <c r="H61" s="70">
        <f t="shared" ref="H61:H62" si="20">H60</f>
        <v>0.197</v>
      </c>
      <c r="I61" s="71">
        <f t="shared" si="16"/>
        <v>0.17</v>
      </c>
      <c r="J61" s="72">
        <f t="shared" si="17"/>
        <v>0.167</v>
      </c>
      <c r="K61" s="73" t="s">
        <v>67</v>
      </c>
      <c r="M61" s="74" t="s">
        <v>67</v>
      </c>
      <c r="N61" s="140">
        <f t="shared" si="18"/>
        <v>0</v>
      </c>
    </row>
    <row r="62" ht="13.5" customHeight="1">
      <c r="A62" s="112"/>
      <c r="B62" s="142"/>
      <c r="C62" s="142"/>
      <c r="D62" s="143">
        <f>K17</f>
        <v>0.334</v>
      </c>
      <c r="E62" s="115">
        <v>0.0</v>
      </c>
      <c r="F62" s="144">
        <v>0.0</v>
      </c>
      <c r="G62" s="145">
        <f>G60</f>
        <v>0.237</v>
      </c>
      <c r="H62" s="119">
        <f t="shared" si="20"/>
        <v>0.197</v>
      </c>
      <c r="I62" s="121">
        <f t="shared" si="16"/>
        <v>0.17</v>
      </c>
      <c r="J62" s="146">
        <f t="shared" si="17"/>
        <v>0.167</v>
      </c>
      <c r="K62" s="123" t="s">
        <v>70</v>
      </c>
      <c r="M62" s="124" t="s">
        <v>70</v>
      </c>
      <c r="N62" s="161">
        <f>0+F62</f>
        <v>0</v>
      </c>
    </row>
    <row r="63" ht="12.75" customHeight="1">
      <c r="A63" s="95"/>
      <c r="B63" s="88"/>
      <c r="C63" s="88"/>
      <c r="D63" s="126"/>
      <c r="E63" s="148"/>
      <c r="F63" s="149"/>
      <c r="G63" s="79"/>
      <c r="H63" s="150"/>
      <c r="I63" s="95"/>
      <c r="J63" s="152"/>
      <c r="K63" s="91"/>
    </row>
    <row r="64" ht="12.75" customHeight="1">
      <c r="A64" s="95"/>
      <c r="B64" s="88"/>
      <c r="C64" s="88"/>
      <c r="D64" s="126"/>
      <c r="E64" s="148"/>
      <c r="F64" s="149"/>
      <c r="G64" s="79"/>
      <c r="H64" s="150"/>
      <c r="I64" s="126"/>
      <c r="J64" s="152"/>
      <c r="K64" s="91"/>
    </row>
    <row r="65" ht="12.75" customHeight="1">
      <c r="A65" s="49"/>
      <c r="B65" s="7"/>
      <c r="C65" s="7"/>
      <c r="D65" s="126"/>
      <c r="E65" s="148"/>
      <c r="F65" s="149"/>
      <c r="G65" s="79"/>
      <c r="H65" s="150"/>
      <c r="I65" s="126"/>
      <c r="J65" s="152"/>
      <c r="K65" s="91"/>
    </row>
    <row r="66" ht="12.75" customHeight="1">
      <c r="A66" s="49"/>
      <c r="B66" s="7"/>
      <c r="C66" s="7"/>
      <c r="D66" s="126"/>
      <c r="E66" s="148"/>
      <c r="F66" s="149"/>
      <c r="G66" s="79"/>
      <c r="H66" s="150"/>
      <c r="I66" s="126"/>
      <c r="J66" s="152"/>
      <c r="K66" s="91"/>
      <c r="N66" s="49"/>
      <c r="U66" s="156"/>
    </row>
    <row r="67" ht="12.75" customHeight="1">
      <c r="A67" s="5"/>
      <c r="B67" s="156"/>
      <c r="C67" s="156"/>
      <c r="E67" s="49"/>
      <c r="F67" s="49"/>
      <c r="G67" s="49"/>
      <c r="H67" s="49"/>
      <c r="K67" s="157"/>
      <c r="N67" s="49"/>
      <c r="U67" s="157"/>
    </row>
    <row r="68" ht="12.75" customHeight="1">
      <c r="A68" s="5"/>
      <c r="B68" s="158"/>
      <c r="C68" s="158"/>
      <c r="N68" s="49"/>
      <c r="U68" s="157"/>
    </row>
    <row r="69" ht="12.75" customHeight="1">
      <c r="A69" s="5"/>
      <c r="B69" s="159"/>
      <c r="C69" s="159"/>
      <c r="E69" s="49"/>
      <c r="F69" s="49"/>
      <c r="G69" s="49"/>
      <c r="H69" s="49"/>
      <c r="L69" s="156"/>
      <c r="N69" s="49"/>
      <c r="U69" s="157"/>
    </row>
    <row r="70" ht="12.75" customHeight="1">
      <c r="A70" s="5"/>
      <c r="B70" s="157"/>
      <c r="C70" s="157"/>
      <c r="E70" s="49"/>
      <c r="F70" s="49"/>
      <c r="G70" s="49"/>
      <c r="H70" s="49"/>
      <c r="L70" s="156"/>
    </row>
    <row r="71" ht="12.75" customHeight="1">
      <c r="A71" s="5"/>
      <c r="B71" s="160"/>
      <c r="C71" s="160"/>
      <c r="N71" s="91"/>
      <c r="O71" s="5"/>
      <c r="P71" s="5"/>
      <c r="Q71" s="5"/>
      <c r="R71" s="5"/>
      <c r="S71" s="91"/>
      <c r="T71" s="46"/>
    </row>
    <row r="72" ht="12.75" customHeight="1">
      <c r="A72" s="91"/>
      <c r="B72" s="7"/>
      <c r="C72" s="7"/>
      <c r="D72" s="46"/>
      <c r="E72" s="46"/>
      <c r="F72" s="46"/>
      <c r="G72" s="46"/>
      <c r="H72" s="46"/>
      <c r="I72" s="91"/>
      <c r="J72" s="91"/>
      <c r="K72" s="91"/>
      <c r="L72" s="91"/>
      <c r="N72" s="91"/>
      <c r="O72" s="49"/>
      <c r="P72" s="49"/>
      <c r="Q72" s="49"/>
      <c r="R72" s="49"/>
      <c r="S72" s="46"/>
      <c r="U72" s="46"/>
      <c r="V72" s="7"/>
    </row>
    <row r="73" ht="12.75" customHeight="1">
      <c r="A73" s="7"/>
      <c r="B73" s="128"/>
      <c r="C73" s="128"/>
      <c r="E73" s="7"/>
      <c r="F73" s="7"/>
      <c r="G73" s="7"/>
      <c r="H73" s="7"/>
      <c r="I73" s="7"/>
      <c r="J73" s="7"/>
      <c r="K73" s="7"/>
      <c r="L73" s="7"/>
      <c r="N73" s="7"/>
      <c r="S73" s="7"/>
      <c r="T73" s="7"/>
      <c r="U73" s="7"/>
      <c r="V73" s="7"/>
    </row>
    <row r="74" ht="12.75" customHeight="1">
      <c r="A74" s="7"/>
      <c r="B74" s="10"/>
      <c r="C74" s="10"/>
      <c r="D74" s="76"/>
      <c r="E74" s="162"/>
      <c r="F74" s="162"/>
      <c r="G74" s="162"/>
      <c r="H74" s="162"/>
      <c r="I74" s="162"/>
      <c r="J74" s="162"/>
      <c r="K74" s="91"/>
      <c r="L74" s="91"/>
      <c r="N74" s="7"/>
      <c r="O74" s="10"/>
      <c r="P74" s="10"/>
      <c r="Q74" s="10"/>
      <c r="R74" s="10"/>
      <c r="S74" s="162"/>
      <c r="T74" s="162"/>
      <c r="U74" s="162"/>
      <c r="V74" s="91"/>
    </row>
    <row r="75" ht="12.75" customHeight="1">
      <c r="A75" s="7"/>
      <c r="B75" s="10"/>
      <c r="C75" s="10"/>
      <c r="D75" s="76"/>
      <c r="E75" s="162"/>
      <c r="F75" s="162"/>
      <c r="G75" s="162"/>
      <c r="H75" s="162"/>
      <c r="I75" s="162"/>
      <c r="J75" s="162"/>
      <c r="K75" s="91"/>
      <c r="L75" s="88"/>
      <c r="N75" s="7"/>
      <c r="O75" s="10"/>
      <c r="P75" s="10"/>
      <c r="Q75" s="10"/>
      <c r="R75" s="10"/>
      <c r="S75" s="162"/>
      <c r="T75" s="162"/>
      <c r="U75" s="162"/>
      <c r="V75" s="91"/>
      <c r="W75" s="88"/>
    </row>
    <row r="76" ht="12.75" customHeight="1">
      <c r="A76" s="7"/>
      <c r="B76" s="10"/>
      <c r="C76" s="10"/>
      <c r="D76" s="76"/>
      <c r="E76" s="162"/>
      <c r="F76" s="162"/>
      <c r="G76" s="162"/>
      <c r="H76" s="162"/>
      <c r="I76" s="162"/>
      <c r="J76" s="162"/>
      <c r="K76" s="91"/>
      <c r="L76" s="91"/>
      <c r="N76" s="7"/>
      <c r="O76" s="10"/>
      <c r="P76" s="10"/>
      <c r="Q76" s="10"/>
      <c r="R76" s="10"/>
      <c r="S76" s="162"/>
      <c r="T76" s="162"/>
      <c r="U76" s="162"/>
      <c r="V76" s="91"/>
      <c r="W76" s="91"/>
    </row>
    <row r="77" ht="12.75" customHeight="1">
      <c r="A77" s="7"/>
      <c r="B77" s="10"/>
      <c r="C77" s="10"/>
      <c r="D77" s="76"/>
      <c r="E77" s="162"/>
      <c r="F77" s="162"/>
      <c r="G77" s="162"/>
      <c r="H77" s="162"/>
      <c r="I77" s="162"/>
      <c r="J77" s="162"/>
      <c r="K77" s="91"/>
      <c r="L77" s="91"/>
      <c r="N77" s="7"/>
      <c r="O77" s="10"/>
      <c r="P77" s="10"/>
      <c r="Q77" s="10"/>
      <c r="R77" s="10"/>
      <c r="S77" s="162"/>
      <c r="T77" s="162"/>
      <c r="U77" s="162"/>
      <c r="V77" s="91"/>
      <c r="W77" s="91"/>
    </row>
    <row r="78" ht="12.75" customHeight="1">
      <c r="A78" s="7"/>
      <c r="B78" s="10"/>
      <c r="C78" s="10"/>
      <c r="D78" s="76"/>
      <c r="E78" s="162"/>
      <c r="F78" s="162"/>
      <c r="G78" s="162"/>
      <c r="H78" s="162"/>
      <c r="I78" s="162"/>
      <c r="J78" s="162"/>
      <c r="K78" s="91"/>
      <c r="L78" s="88"/>
      <c r="N78" s="7"/>
      <c r="O78" s="10"/>
      <c r="P78" s="10"/>
      <c r="Q78" s="10"/>
      <c r="R78" s="10"/>
      <c r="S78" s="162"/>
      <c r="T78" s="162"/>
      <c r="U78" s="162"/>
      <c r="V78" s="91"/>
      <c r="W78" s="88"/>
    </row>
    <row r="79" ht="12.75" customHeight="1">
      <c r="A79" s="7"/>
      <c r="B79" s="10"/>
      <c r="C79" s="10"/>
      <c r="D79" s="76"/>
      <c r="E79" s="162"/>
      <c r="F79" s="162"/>
      <c r="G79" s="162"/>
      <c r="H79" s="162"/>
      <c r="I79" s="162"/>
      <c r="J79" s="162"/>
      <c r="K79" s="91"/>
      <c r="L79" s="91"/>
      <c r="N79" s="7"/>
      <c r="O79" s="10"/>
      <c r="P79" s="10"/>
      <c r="Q79" s="10"/>
      <c r="R79" s="10"/>
      <c r="S79" s="162"/>
      <c r="T79" s="162"/>
      <c r="U79" s="162"/>
      <c r="V79" s="91"/>
      <c r="W79" s="91"/>
    </row>
    <row r="80" ht="12.75" customHeight="1">
      <c r="A80" s="7"/>
      <c r="B80" s="10"/>
      <c r="C80" s="10"/>
      <c r="D80" s="76"/>
      <c r="E80" s="162"/>
      <c r="F80" s="162"/>
      <c r="G80" s="162"/>
      <c r="H80" s="162"/>
      <c r="I80" s="162"/>
      <c r="J80" s="162"/>
      <c r="K80" s="91"/>
      <c r="L80" s="91"/>
      <c r="N80" s="7"/>
      <c r="O80" s="10"/>
      <c r="P80" s="10"/>
      <c r="Q80" s="10"/>
      <c r="R80" s="10"/>
      <c r="S80" s="162"/>
      <c r="T80" s="162"/>
      <c r="U80" s="162"/>
      <c r="V80" s="91"/>
      <c r="W80" s="91"/>
    </row>
    <row r="81" ht="12.75" customHeight="1">
      <c r="A81" s="7"/>
      <c r="B81" s="10"/>
      <c r="C81" s="10"/>
      <c r="D81" s="76"/>
      <c r="E81" s="162"/>
      <c r="F81" s="162"/>
      <c r="G81" s="162"/>
      <c r="H81" s="162"/>
      <c r="I81" s="162"/>
      <c r="J81" s="162"/>
      <c r="K81" s="91"/>
      <c r="L81" s="163"/>
      <c r="N81" s="7"/>
      <c r="O81" s="10"/>
      <c r="P81" s="10"/>
      <c r="Q81" s="10"/>
      <c r="R81" s="10"/>
      <c r="S81" s="162"/>
      <c r="T81" s="162"/>
      <c r="U81" s="162"/>
      <c r="V81" s="91"/>
      <c r="W81" s="88"/>
    </row>
    <row r="82" ht="12.75" customHeight="1">
      <c r="A82" s="7"/>
      <c r="B82" s="10"/>
      <c r="C82" s="10"/>
      <c r="D82" s="76"/>
      <c r="E82" s="162"/>
      <c r="F82" s="162"/>
      <c r="G82" s="162"/>
      <c r="H82" s="162"/>
      <c r="I82" s="162"/>
      <c r="J82" s="162"/>
      <c r="K82" s="91"/>
      <c r="L82" s="91"/>
      <c r="N82" s="7"/>
      <c r="O82" s="10"/>
      <c r="P82" s="10"/>
      <c r="Q82" s="10"/>
      <c r="R82" s="10"/>
      <c r="S82" s="162"/>
      <c r="T82" s="162"/>
      <c r="U82" s="162"/>
      <c r="V82" s="91"/>
      <c r="W82" s="91"/>
    </row>
    <row r="83" ht="12.75" customHeight="1">
      <c r="A83" s="7"/>
      <c r="B83" s="10"/>
      <c r="C83" s="10"/>
      <c r="D83" s="10"/>
      <c r="E83" s="162"/>
      <c r="F83" s="162"/>
      <c r="G83" s="162"/>
      <c r="H83" s="162"/>
      <c r="I83" s="162"/>
      <c r="J83" s="162"/>
      <c r="K83" s="91"/>
      <c r="N83" s="7"/>
      <c r="O83" s="10"/>
      <c r="P83" s="10"/>
      <c r="Q83" s="10"/>
      <c r="R83" s="10"/>
      <c r="S83" s="162"/>
      <c r="T83" s="162"/>
      <c r="U83" s="162"/>
      <c r="V83" s="91"/>
    </row>
    <row r="84" ht="12.75" customHeight="1">
      <c r="A84" s="7"/>
      <c r="B84" s="10"/>
      <c r="C84" s="10"/>
      <c r="D84" s="10"/>
      <c r="E84" s="162"/>
      <c r="F84" s="162"/>
      <c r="G84" s="162"/>
      <c r="H84" s="162"/>
      <c r="I84" s="162"/>
      <c r="J84" s="162"/>
      <c r="K84" s="91"/>
      <c r="L84" s="88"/>
      <c r="N84" s="7"/>
      <c r="O84" s="10"/>
      <c r="P84" s="10"/>
      <c r="Q84" s="10"/>
      <c r="R84" s="10"/>
      <c r="S84" s="162"/>
      <c r="T84" s="162"/>
      <c r="U84" s="162"/>
      <c r="V84" s="91"/>
      <c r="W84" s="91"/>
    </row>
    <row r="85" ht="12.75" customHeight="1">
      <c r="A85" s="7"/>
      <c r="D85" s="10"/>
      <c r="E85" s="162"/>
      <c r="F85" s="162"/>
      <c r="G85" s="162"/>
      <c r="H85" s="162"/>
      <c r="L85" s="91"/>
      <c r="N85" s="7"/>
      <c r="O85" s="10"/>
      <c r="P85" s="10"/>
      <c r="Q85" s="10"/>
      <c r="R85" s="10"/>
      <c r="S85" s="162"/>
      <c r="T85" s="162"/>
      <c r="U85" s="162"/>
      <c r="V85" s="91"/>
      <c r="W85" s="88"/>
    </row>
    <row r="86" ht="12.75" customHeight="1">
      <c r="A86" s="7"/>
      <c r="D86" s="10"/>
      <c r="E86" s="162"/>
      <c r="F86" s="162"/>
      <c r="G86" s="162"/>
      <c r="H86" s="162"/>
      <c r="K86" s="7"/>
      <c r="L86" s="7"/>
      <c r="N86" s="7"/>
      <c r="O86" s="76"/>
      <c r="P86" s="76"/>
      <c r="Q86" s="76"/>
      <c r="R86" s="76"/>
      <c r="S86" s="162"/>
      <c r="T86" s="162"/>
      <c r="U86" s="162"/>
      <c r="V86" s="7"/>
      <c r="W86" s="7"/>
    </row>
    <row r="87" ht="12.75" customHeight="1">
      <c r="A87" s="7"/>
      <c r="D87" s="10"/>
      <c r="E87" s="162"/>
      <c r="F87" s="162"/>
      <c r="G87" s="162"/>
      <c r="H87" s="162"/>
      <c r="K87" s="7"/>
      <c r="L87" s="7"/>
    </row>
    <row r="88" ht="12.75" customHeight="1">
      <c r="A88" s="7"/>
      <c r="D88" s="10"/>
      <c r="E88" s="162"/>
      <c r="F88" s="162"/>
      <c r="G88" s="162"/>
      <c r="H88" s="162"/>
    </row>
    <row r="89" ht="12.75" customHeight="1">
      <c r="A89" s="7"/>
      <c r="B89" s="10"/>
      <c r="C89" s="10"/>
      <c r="D89" s="76"/>
      <c r="E89" s="162"/>
      <c r="F89" s="162"/>
      <c r="G89" s="162"/>
      <c r="H89" s="162"/>
      <c r="I89" s="162"/>
      <c r="J89" s="162"/>
    </row>
    <row r="90" ht="12.75" customHeight="1">
      <c r="A90" s="7"/>
      <c r="B90" s="128"/>
      <c r="C90" s="128"/>
      <c r="D90" s="76"/>
      <c r="E90" s="162"/>
      <c r="F90" s="162"/>
      <c r="G90" s="162"/>
      <c r="H90" s="162"/>
      <c r="I90" s="162"/>
      <c r="J90" s="162"/>
    </row>
    <row r="91" ht="12.75" customHeight="1">
      <c r="A91" s="7"/>
      <c r="B91" s="128"/>
      <c r="C91" s="128"/>
      <c r="D91" s="76"/>
      <c r="E91" s="162"/>
      <c r="F91" s="162"/>
      <c r="G91" s="162"/>
      <c r="H91" s="162"/>
      <c r="I91" s="162"/>
      <c r="J91" s="162"/>
    </row>
    <row r="92" ht="12.75" customHeight="1">
      <c r="A92" s="7"/>
      <c r="B92" s="128"/>
      <c r="C92" s="128"/>
      <c r="D92" s="76"/>
      <c r="E92" s="162"/>
      <c r="F92" s="162"/>
      <c r="G92" s="162"/>
      <c r="H92" s="162"/>
      <c r="I92" s="162"/>
      <c r="J92" s="162"/>
    </row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4">
    <mergeCell ref="A19:D19"/>
    <mergeCell ref="A20:D20"/>
    <mergeCell ref="A21:D21"/>
    <mergeCell ref="A46:D46"/>
  </mergeCells>
  <printOptions/>
  <pageMargins bottom="0.75" footer="0.0" header="0.0" left="0.7" right="0.7" top="0.75"/>
  <pageSetup scale="90"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8.5"/>
    <col customWidth="1" min="3" max="3" width="10.25"/>
    <col customWidth="1" min="4" max="4" width="7.0"/>
    <col customWidth="1" min="5" max="5" width="8.13"/>
    <col customWidth="1" min="6" max="6" width="8.88"/>
    <col customWidth="1" min="7" max="7" width="7.25"/>
    <col customWidth="1" min="8" max="8" width="7.0"/>
    <col customWidth="1" min="9" max="9" width="7.88"/>
    <col customWidth="1" min="10" max="10" width="8.0"/>
    <col customWidth="1" min="11" max="11" width="8.13"/>
    <col customWidth="1" min="12" max="12" width="7.0"/>
    <col customWidth="1" min="13" max="13" width="11.25"/>
    <col customWidth="1" min="14" max="14" width="7.0"/>
    <col customWidth="1" min="15" max="15" width="14.63"/>
    <col customWidth="1" min="16" max="16" width="22.5"/>
    <col customWidth="1" min="17" max="26" width="7.0"/>
  </cols>
  <sheetData>
    <row r="1">
      <c r="A1" s="1"/>
      <c r="G1" s="2" t="s">
        <v>0</v>
      </c>
      <c r="I1" s="3"/>
    </row>
    <row r="2" ht="12.75" customHeight="1">
      <c r="A2" t="s">
        <v>1</v>
      </c>
    </row>
    <row r="3" ht="12.75" customHeight="1">
      <c r="G3" s="4" t="s">
        <v>2</v>
      </c>
      <c r="H3" s="4"/>
      <c r="I3" s="4"/>
      <c r="J3" s="4" t="s">
        <v>3</v>
      </c>
    </row>
    <row r="4" ht="12.75" customHeight="1">
      <c r="A4" s="5" t="s">
        <v>4</v>
      </c>
      <c r="B4" s="6" t="s">
        <v>7</v>
      </c>
      <c r="G4" s="7" t="s">
        <v>5</v>
      </c>
      <c r="H4" s="8">
        <v>0.054</v>
      </c>
      <c r="I4" t="s">
        <v>6</v>
      </c>
      <c r="J4" s="9">
        <v>0.158</v>
      </c>
      <c r="K4" t="s">
        <v>6</v>
      </c>
      <c r="R4" s="10"/>
    </row>
    <row r="5" ht="12.75" customHeight="1">
      <c r="A5" s="5" t="s">
        <v>8</v>
      </c>
      <c r="B5" s="6" t="s">
        <v>12</v>
      </c>
      <c r="G5" s="7" t="s">
        <v>9</v>
      </c>
      <c r="H5" s="8">
        <v>0.06</v>
      </c>
      <c r="J5" s="9">
        <v>0.172</v>
      </c>
      <c r="R5" s="10"/>
    </row>
    <row r="6" ht="12.75" customHeight="1">
      <c r="A6" s="5" t="s">
        <v>10</v>
      </c>
      <c r="B6" s="12" t="s">
        <v>15</v>
      </c>
      <c r="G6" s="7" t="s">
        <v>13</v>
      </c>
      <c r="H6" s="8">
        <v>0.074</v>
      </c>
      <c r="J6" s="9">
        <v>0.188</v>
      </c>
      <c r="R6" s="10"/>
    </row>
    <row r="7" ht="12.75" customHeight="1">
      <c r="A7" s="5" t="s">
        <v>14</v>
      </c>
      <c r="B7" s="13">
        <v>0.174</v>
      </c>
      <c r="G7" s="7" t="s">
        <v>16</v>
      </c>
      <c r="H7" s="8">
        <v>0.086</v>
      </c>
      <c r="J7" s="9">
        <v>0.2</v>
      </c>
      <c r="R7" s="10"/>
    </row>
    <row r="8" ht="12.75" customHeight="1">
      <c r="G8" s="7" t="s">
        <v>17</v>
      </c>
      <c r="H8" s="8">
        <v>0.104</v>
      </c>
      <c r="J8" s="9">
        <v>0.21</v>
      </c>
      <c r="R8" s="10"/>
    </row>
    <row r="9" ht="12.75" customHeight="1">
      <c r="G9" s="7" t="s">
        <v>18</v>
      </c>
      <c r="H9" s="8">
        <v>0.122</v>
      </c>
      <c r="J9" s="9">
        <v>0.226</v>
      </c>
      <c r="R9" s="10"/>
    </row>
    <row r="10" ht="12.75" customHeight="1">
      <c r="G10" s="7" t="s">
        <v>19</v>
      </c>
      <c r="H10" s="8">
        <v>0.132</v>
      </c>
      <c r="J10" s="9">
        <v>0.238</v>
      </c>
      <c r="R10" s="10"/>
    </row>
    <row r="11" ht="12.75" customHeight="1">
      <c r="G11" s="7" t="s">
        <v>20</v>
      </c>
      <c r="H11" s="8">
        <v>0.144</v>
      </c>
      <c r="J11" s="9">
        <v>0.252</v>
      </c>
      <c r="R11" s="10"/>
    </row>
    <row r="12" ht="12.75" customHeight="1">
      <c r="G12" s="7" t="s">
        <v>21</v>
      </c>
      <c r="H12" s="8">
        <v>0.154</v>
      </c>
      <c r="J12" s="9">
        <v>0.266</v>
      </c>
      <c r="R12" s="10"/>
    </row>
    <row r="13" ht="12.75" customHeight="1">
      <c r="G13" s="7" t="s">
        <v>22</v>
      </c>
      <c r="H13" s="8">
        <v>0.17</v>
      </c>
      <c r="J13" s="9">
        <v>0.278</v>
      </c>
      <c r="R13" s="10"/>
    </row>
    <row r="14" ht="12.75" customHeight="1">
      <c r="G14" s="7" t="s">
        <v>23</v>
      </c>
      <c r="H14" s="8">
        <v>0.18</v>
      </c>
      <c r="J14" s="9">
        <v>0.294</v>
      </c>
      <c r="R14" s="10"/>
    </row>
    <row r="15" ht="12.75" customHeight="1">
      <c r="G15" s="7" t="s">
        <v>24</v>
      </c>
      <c r="H15" s="8">
        <v>0.18</v>
      </c>
      <c r="I15" t="s">
        <v>6</v>
      </c>
      <c r="J15" s="9">
        <v>0.294</v>
      </c>
      <c r="K15" t="s">
        <v>6</v>
      </c>
      <c r="R15" s="10"/>
    </row>
    <row r="16" ht="12.75" customHeight="1">
      <c r="G16" s="17" t="s">
        <v>25</v>
      </c>
      <c r="H16" s="18">
        <f>H15</f>
        <v>0.18</v>
      </c>
      <c r="I16" s="19"/>
      <c r="J16" s="18">
        <f>J15</f>
        <v>0.294</v>
      </c>
      <c r="K16" s="18"/>
      <c r="M16" s="20"/>
      <c r="O16" s="22" t="s">
        <v>27</v>
      </c>
      <c r="R16" s="10"/>
    </row>
    <row r="17" ht="13.5" customHeight="1">
      <c r="A17" s="4" t="s">
        <v>26</v>
      </c>
      <c r="D17" s="21">
        <v>0.07</v>
      </c>
      <c r="J17" s="17">
        <v>0.294</v>
      </c>
      <c r="K17" s="18"/>
      <c r="M17" s="20"/>
      <c r="R17" s="10"/>
    </row>
    <row r="18" ht="13.5" customHeight="1">
      <c r="A18" s="4" t="s">
        <v>28</v>
      </c>
      <c r="D18" s="25">
        <v>0.03</v>
      </c>
      <c r="F18" s="27" t="s">
        <v>29</v>
      </c>
      <c r="G18" s="28"/>
      <c r="H18" s="28"/>
      <c r="I18" s="30"/>
      <c r="J18" s="7"/>
      <c r="K18" s="26"/>
      <c r="M18" s="20"/>
      <c r="R18" s="10"/>
    </row>
    <row r="19">
      <c r="D19" s="32"/>
      <c r="G19" s="32"/>
      <c r="J19" s="7"/>
      <c r="L19" s="35" t="s">
        <v>30</v>
      </c>
      <c r="O19" s="15" t="s">
        <v>32</v>
      </c>
      <c r="P19" s="15" t="s">
        <v>34</v>
      </c>
    </row>
    <row r="20" ht="12.75" customHeight="1">
      <c r="A20" s="33"/>
      <c r="B20" s="34"/>
      <c r="C20" s="36" t="s">
        <v>31</v>
      </c>
      <c r="D20" s="36" t="s">
        <v>33</v>
      </c>
      <c r="E20" s="37" t="s">
        <v>35</v>
      </c>
      <c r="F20" s="45" t="s">
        <v>41</v>
      </c>
      <c r="G20" s="47" t="s">
        <v>42</v>
      </c>
      <c r="H20" s="40" t="s">
        <v>38</v>
      </c>
      <c r="I20" s="41" t="s">
        <v>39</v>
      </c>
      <c r="J20" s="42"/>
      <c r="L20" s="43" t="s">
        <v>33</v>
      </c>
      <c r="M20" s="44" t="s">
        <v>40</v>
      </c>
      <c r="O20" s="51">
        <v>44930.0</v>
      </c>
      <c r="P20" s="15" t="s">
        <v>45</v>
      </c>
    </row>
    <row r="21" ht="12.75" customHeight="1">
      <c r="A21" s="48"/>
      <c r="B21" s="7" t="s">
        <v>2</v>
      </c>
      <c r="C21" s="49" t="s">
        <v>43</v>
      </c>
      <c r="D21" s="7" t="s">
        <v>44</v>
      </c>
      <c r="E21" s="55"/>
      <c r="F21" s="57" t="s">
        <v>46</v>
      </c>
      <c r="G21" s="54" t="s">
        <v>46</v>
      </c>
      <c r="H21" s="56" t="s">
        <v>47</v>
      </c>
      <c r="I21" s="58" t="s">
        <v>37</v>
      </c>
      <c r="J21" s="59" t="s">
        <v>33</v>
      </c>
      <c r="L21" s="60"/>
      <c r="M21" s="61" t="s">
        <v>48</v>
      </c>
      <c r="N21" s="64"/>
      <c r="O21" s="7"/>
      <c r="W21" s="20"/>
    </row>
    <row r="22" ht="13.5" customHeight="1">
      <c r="A22" s="62"/>
      <c r="B22" s="63" t="s">
        <v>5</v>
      </c>
      <c r="C22" s="65">
        <f t="shared" ref="C22:C31" si="1">H4</f>
        <v>0.054</v>
      </c>
      <c r="D22" s="66">
        <v>13.0</v>
      </c>
      <c r="E22" s="69">
        <v>0.003</v>
      </c>
      <c r="F22" s="68">
        <f t="shared" ref="F22:F32" si="2">I22+$D$17</f>
        <v>0.097</v>
      </c>
      <c r="G22" s="70">
        <f t="shared" ref="G22:G39" si="3">I22+$D$18</f>
        <v>0.057</v>
      </c>
      <c r="H22" s="71">
        <f t="shared" ref="H22:H39" si="4">I22+0.003</f>
        <v>0.03</v>
      </c>
      <c r="I22" s="72">
        <f t="shared" ref="I22:I39" si="5">C22/2</f>
        <v>0.027</v>
      </c>
      <c r="J22" s="73" t="s">
        <v>49</v>
      </c>
      <c r="L22" s="74" t="s">
        <v>49</v>
      </c>
      <c r="M22" s="75">
        <v>0.063</v>
      </c>
      <c r="N22" s="84">
        <f t="shared" ref="N22:N31" si="6">I23-I22</f>
        <v>0.003</v>
      </c>
      <c r="O22" s="76"/>
      <c r="W22" s="20"/>
    </row>
    <row r="23" ht="13.5" customHeight="1">
      <c r="A23" s="77" t="s">
        <v>50</v>
      </c>
      <c r="B23" s="7" t="s">
        <v>9</v>
      </c>
      <c r="C23" s="76">
        <f t="shared" si="1"/>
        <v>0.06</v>
      </c>
      <c r="D23" s="79">
        <v>12.0</v>
      </c>
      <c r="E23" s="89">
        <v>0.007</v>
      </c>
      <c r="F23" s="81">
        <f t="shared" si="2"/>
        <v>0.1</v>
      </c>
      <c r="G23" s="82">
        <f t="shared" si="3"/>
        <v>0.06</v>
      </c>
      <c r="H23" s="83">
        <f t="shared" si="4"/>
        <v>0.033</v>
      </c>
      <c r="I23" s="85">
        <f t="shared" si="5"/>
        <v>0.03</v>
      </c>
      <c r="J23" s="86" t="s">
        <v>51</v>
      </c>
      <c r="L23" s="87" t="s">
        <v>51</v>
      </c>
      <c r="M23" s="75">
        <v>0.06</v>
      </c>
      <c r="N23" s="84">
        <f t="shared" si="6"/>
        <v>0.007</v>
      </c>
      <c r="O23" s="76"/>
      <c r="U23" s="88"/>
      <c r="W23" s="4"/>
    </row>
    <row r="24" ht="13.5" customHeight="1">
      <c r="A24" s="62"/>
      <c r="B24" s="63" t="s">
        <v>13</v>
      </c>
      <c r="C24" s="65">
        <f t="shared" si="1"/>
        <v>0.074</v>
      </c>
      <c r="D24" s="66">
        <v>11.0</v>
      </c>
      <c r="E24" s="92">
        <v>0.006</v>
      </c>
      <c r="F24" s="68">
        <f t="shared" si="2"/>
        <v>0.107</v>
      </c>
      <c r="G24" s="70">
        <f t="shared" si="3"/>
        <v>0.067</v>
      </c>
      <c r="H24" s="71">
        <f t="shared" si="4"/>
        <v>0.04</v>
      </c>
      <c r="I24" s="72">
        <f t="shared" si="5"/>
        <v>0.037</v>
      </c>
      <c r="J24" s="73" t="s">
        <v>52</v>
      </c>
      <c r="L24" s="74" t="s">
        <v>52</v>
      </c>
      <c r="M24" s="75">
        <v>0.053</v>
      </c>
      <c r="N24" s="84">
        <f t="shared" si="6"/>
        <v>0.006</v>
      </c>
      <c r="O24" s="76"/>
      <c r="U24" s="91"/>
      <c r="W24" s="4"/>
    </row>
    <row r="25" ht="13.5" customHeight="1">
      <c r="A25" s="48"/>
      <c r="B25" s="7" t="s">
        <v>16</v>
      </c>
      <c r="C25" s="76">
        <f t="shared" si="1"/>
        <v>0.086</v>
      </c>
      <c r="D25" s="79">
        <v>10.0</v>
      </c>
      <c r="E25" s="93">
        <v>0.009</v>
      </c>
      <c r="F25" s="81">
        <f t="shared" si="2"/>
        <v>0.113</v>
      </c>
      <c r="G25" s="82">
        <f t="shared" si="3"/>
        <v>0.073</v>
      </c>
      <c r="H25" s="83">
        <f t="shared" si="4"/>
        <v>0.046</v>
      </c>
      <c r="I25" s="85">
        <f t="shared" si="5"/>
        <v>0.043</v>
      </c>
      <c r="J25" s="86" t="s">
        <v>53</v>
      </c>
      <c r="L25" s="87" t="s">
        <v>53</v>
      </c>
      <c r="M25" s="75">
        <v>0.047</v>
      </c>
      <c r="N25" s="84">
        <f t="shared" si="6"/>
        <v>0.009</v>
      </c>
      <c r="O25" s="76"/>
      <c r="U25" s="91"/>
      <c r="W25" s="20"/>
    </row>
    <row r="26" ht="13.5" customHeight="1">
      <c r="A26" s="62"/>
      <c r="B26" s="63" t="s">
        <v>17</v>
      </c>
      <c r="C26" s="65">
        <f t="shared" si="1"/>
        <v>0.104</v>
      </c>
      <c r="D26" s="66">
        <v>9.0</v>
      </c>
      <c r="E26" s="92">
        <v>0.009</v>
      </c>
      <c r="F26" s="68">
        <f t="shared" si="2"/>
        <v>0.122</v>
      </c>
      <c r="G26" s="70">
        <f t="shared" si="3"/>
        <v>0.082</v>
      </c>
      <c r="H26" s="71">
        <f t="shared" si="4"/>
        <v>0.055</v>
      </c>
      <c r="I26" s="72">
        <f t="shared" si="5"/>
        <v>0.052</v>
      </c>
      <c r="J26" s="73" t="s">
        <v>54</v>
      </c>
      <c r="L26" s="74" t="s">
        <v>54</v>
      </c>
      <c r="M26" s="75">
        <v>0.038</v>
      </c>
      <c r="N26" s="84">
        <f t="shared" si="6"/>
        <v>0.009</v>
      </c>
      <c r="O26" s="76"/>
      <c r="U26" s="88"/>
    </row>
    <row r="27" ht="13.5" customHeight="1">
      <c r="A27" s="48"/>
      <c r="B27" s="7" t="s">
        <v>18</v>
      </c>
      <c r="C27" s="76">
        <f t="shared" si="1"/>
        <v>0.122</v>
      </c>
      <c r="D27" s="97">
        <v>8.0</v>
      </c>
      <c r="E27" s="98">
        <v>0.005</v>
      </c>
      <c r="F27" s="99">
        <f t="shared" si="2"/>
        <v>0.131</v>
      </c>
      <c r="G27" s="100">
        <f t="shared" si="3"/>
        <v>0.091</v>
      </c>
      <c r="H27" s="103">
        <f t="shared" si="4"/>
        <v>0.064</v>
      </c>
      <c r="I27" s="104">
        <f t="shared" si="5"/>
        <v>0.061</v>
      </c>
      <c r="J27" s="105" t="s">
        <v>55</v>
      </c>
      <c r="L27" s="87" t="s">
        <v>55</v>
      </c>
      <c r="M27" s="75">
        <v>0.028999999999999998</v>
      </c>
      <c r="N27" s="84">
        <f t="shared" si="6"/>
        <v>0.005</v>
      </c>
      <c r="O27" s="76"/>
      <c r="U27" s="91"/>
    </row>
    <row r="28" ht="13.5" customHeight="1">
      <c r="A28" s="62"/>
      <c r="B28" s="63" t="s">
        <v>19</v>
      </c>
      <c r="C28" s="65">
        <f t="shared" si="1"/>
        <v>0.132</v>
      </c>
      <c r="D28" s="66">
        <v>7.0</v>
      </c>
      <c r="E28" s="92">
        <v>0.006</v>
      </c>
      <c r="F28" s="68">
        <f t="shared" si="2"/>
        <v>0.136</v>
      </c>
      <c r="G28" s="70">
        <f t="shared" si="3"/>
        <v>0.096</v>
      </c>
      <c r="H28" s="71">
        <f t="shared" si="4"/>
        <v>0.069</v>
      </c>
      <c r="I28" s="72">
        <f t="shared" si="5"/>
        <v>0.066</v>
      </c>
      <c r="J28" s="73" t="s">
        <v>56</v>
      </c>
      <c r="L28" s="74" t="s">
        <v>56</v>
      </c>
      <c r="M28" s="75">
        <v>0.023999999999999994</v>
      </c>
      <c r="N28" s="84">
        <f t="shared" si="6"/>
        <v>0.006</v>
      </c>
      <c r="O28" s="76"/>
      <c r="U28" s="91"/>
    </row>
    <row r="29" ht="13.5" customHeight="1">
      <c r="A29" s="48"/>
      <c r="B29" s="7" t="s">
        <v>20</v>
      </c>
      <c r="C29" s="76">
        <f t="shared" si="1"/>
        <v>0.144</v>
      </c>
      <c r="D29" s="79">
        <v>6.0</v>
      </c>
      <c r="E29" s="93">
        <v>0.005</v>
      </c>
      <c r="F29" s="81">
        <f t="shared" si="2"/>
        <v>0.142</v>
      </c>
      <c r="G29" s="82">
        <f t="shared" si="3"/>
        <v>0.102</v>
      </c>
      <c r="H29" s="83">
        <f t="shared" si="4"/>
        <v>0.075</v>
      </c>
      <c r="I29" s="85">
        <f t="shared" si="5"/>
        <v>0.072</v>
      </c>
      <c r="J29" s="86" t="s">
        <v>57</v>
      </c>
      <c r="L29" s="87" t="s">
        <v>57</v>
      </c>
      <c r="M29" s="75">
        <v>0.018000000000000002</v>
      </c>
      <c r="N29" s="84">
        <f t="shared" si="6"/>
        <v>0.005</v>
      </c>
      <c r="O29" s="76"/>
      <c r="U29" s="88"/>
    </row>
    <row r="30" ht="13.5" customHeight="1">
      <c r="A30" s="62"/>
      <c r="B30" s="63" t="s">
        <v>21</v>
      </c>
      <c r="C30" s="65">
        <f t="shared" si="1"/>
        <v>0.154</v>
      </c>
      <c r="D30" s="66">
        <v>5.0</v>
      </c>
      <c r="E30" s="92">
        <v>0.008</v>
      </c>
      <c r="F30" s="68">
        <f t="shared" si="2"/>
        <v>0.147</v>
      </c>
      <c r="G30" s="70">
        <f t="shared" si="3"/>
        <v>0.107</v>
      </c>
      <c r="H30" s="71">
        <f t="shared" si="4"/>
        <v>0.08</v>
      </c>
      <c r="I30" s="72">
        <f t="shared" si="5"/>
        <v>0.077</v>
      </c>
      <c r="J30" s="73" t="s">
        <v>58</v>
      </c>
      <c r="L30" s="74" t="s">
        <v>58</v>
      </c>
      <c r="M30" s="75">
        <v>0.012999999999999998</v>
      </c>
      <c r="N30" s="84">
        <f t="shared" si="6"/>
        <v>0.008</v>
      </c>
      <c r="O30" s="76"/>
      <c r="U30" s="91"/>
    </row>
    <row r="31" ht="13.5" customHeight="1">
      <c r="A31" s="94"/>
      <c r="B31" s="7" t="s">
        <v>22</v>
      </c>
      <c r="C31" s="76">
        <f t="shared" si="1"/>
        <v>0.17</v>
      </c>
      <c r="D31" s="79">
        <v>4.0</v>
      </c>
      <c r="E31" s="93">
        <v>0.005</v>
      </c>
      <c r="F31" s="81">
        <f t="shared" si="2"/>
        <v>0.155</v>
      </c>
      <c r="G31" s="82">
        <f t="shared" si="3"/>
        <v>0.115</v>
      </c>
      <c r="H31" s="83">
        <f t="shared" si="4"/>
        <v>0.088</v>
      </c>
      <c r="I31" s="85">
        <f t="shared" si="5"/>
        <v>0.085</v>
      </c>
      <c r="J31" s="86" t="s">
        <v>59</v>
      </c>
      <c r="L31" s="87" t="s">
        <v>59</v>
      </c>
      <c r="M31" s="75">
        <v>0.0049999999999999906</v>
      </c>
      <c r="N31" s="84">
        <f t="shared" si="6"/>
        <v>0.001</v>
      </c>
      <c r="O31" s="76"/>
    </row>
    <row r="32" ht="13.5" customHeight="1">
      <c r="A32" s="96"/>
      <c r="B32" s="63" t="s">
        <v>60</v>
      </c>
      <c r="C32" s="110">
        <v>0.172</v>
      </c>
      <c r="D32" s="66"/>
      <c r="E32" s="90" t="s">
        <v>61</v>
      </c>
      <c r="F32" s="68">
        <f t="shared" si="2"/>
        <v>0.156</v>
      </c>
      <c r="G32" s="70">
        <f t="shared" si="3"/>
        <v>0.116</v>
      </c>
      <c r="H32" s="71">
        <f t="shared" si="4"/>
        <v>0.089</v>
      </c>
      <c r="I32" s="72">
        <f t="shared" si="5"/>
        <v>0.086</v>
      </c>
      <c r="J32" s="101"/>
      <c r="L32" s="102"/>
      <c r="M32" s="75" t="s">
        <v>61</v>
      </c>
      <c r="N32" s="118"/>
      <c r="O32" s="76"/>
      <c r="U32" s="91"/>
    </row>
    <row r="33" ht="13.5" customHeight="1">
      <c r="A33" s="120" t="s">
        <v>69</v>
      </c>
      <c r="B33" s="7" t="s">
        <v>62</v>
      </c>
      <c r="C33" s="78">
        <v>0.174</v>
      </c>
      <c r="D33" s="79"/>
      <c r="E33" s="80" t="s">
        <v>61</v>
      </c>
      <c r="F33" s="81">
        <f t="shared" ref="F33:F35" si="7">I33+0.07</f>
        <v>0.157</v>
      </c>
      <c r="G33" s="82">
        <f t="shared" si="3"/>
        <v>0.117</v>
      </c>
      <c r="H33" s="83">
        <f t="shared" si="4"/>
        <v>0.09</v>
      </c>
      <c r="I33" s="85">
        <f t="shared" si="5"/>
        <v>0.087</v>
      </c>
      <c r="J33" s="106"/>
      <c r="L33" s="94"/>
      <c r="M33" s="75" t="s">
        <v>61</v>
      </c>
      <c r="N33" s="118"/>
      <c r="O33" s="107"/>
      <c r="U33" s="88"/>
    </row>
    <row r="34" ht="13.5" customHeight="1">
      <c r="A34" s="96"/>
      <c r="B34" s="63" t="s">
        <v>63</v>
      </c>
      <c r="C34" s="110">
        <v>0.176</v>
      </c>
      <c r="D34" s="66"/>
      <c r="E34" s="90" t="s">
        <v>61</v>
      </c>
      <c r="F34" s="68">
        <f t="shared" si="7"/>
        <v>0.158</v>
      </c>
      <c r="G34" s="70">
        <f t="shared" si="3"/>
        <v>0.118</v>
      </c>
      <c r="H34" s="71">
        <f t="shared" si="4"/>
        <v>0.091</v>
      </c>
      <c r="I34" s="72">
        <f t="shared" si="5"/>
        <v>0.088</v>
      </c>
      <c r="J34" s="101"/>
      <c r="L34" s="102"/>
      <c r="M34" s="75" t="s">
        <v>61</v>
      </c>
      <c r="N34" s="118"/>
      <c r="O34" s="76"/>
      <c r="U34" s="7"/>
    </row>
    <row r="35" ht="13.5" customHeight="1">
      <c r="A35" s="94"/>
      <c r="B35" s="7" t="s">
        <v>64</v>
      </c>
      <c r="C35" s="78">
        <v>0.178</v>
      </c>
      <c r="D35" s="79"/>
      <c r="E35" s="80" t="s">
        <v>61</v>
      </c>
      <c r="F35" s="81">
        <f t="shared" si="7"/>
        <v>0.159</v>
      </c>
      <c r="G35" s="82">
        <f t="shared" si="3"/>
        <v>0.119</v>
      </c>
      <c r="H35" s="83">
        <f t="shared" si="4"/>
        <v>0.092</v>
      </c>
      <c r="I35" s="85">
        <f t="shared" si="5"/>
        <v>0.089</v>
      </c>
      <c r="J35" s="106"/>
      <c r="L35" s="94"/>
      <c r="M35" s="75" t="s">
        <v>61</v>
      </c>
      <c r="N35" s="118"/>
      <c r="O35" s="76"/>
    </row>
    <row r="36" ht="13.5" customHeight="1">
      <c r="A36" s="96"/>
      <c r="B36" s="63" t="s">
        <v>23</v>
      </c>
      <c r="C36" s="65">
        <f t="shared" ref="C36:C38" si="8">H14</f>
        <v>0.18</v>
      </c>
      <c r="D36" s="66">
        <v>3.0</v>
      </c>
      <c r="E36" s="90" t="str">
        <f t="shared" ref="E36:E38" si="9">(I37-I36)+E37</f>
        <v>#REF!</v>
      </c>
      <c r="F36" s="68">
        <f t="shared" ref="F36:F37" si="10">I36+$D$17</f>
        <v>0.16</v>
      </c>
      <c r="G36" s="70">
        <f t="shared" si="3"/>
        <v>0.12</v>
      </c>
      <c r="H36" s="71">
        <f t="shared" si="4"/>
        <v>0.093</v>
      </c>
      <c r="I36" s="72">
        <f t="shared" si="5"/>
        <v>0.09</v>
      </c>
      <c r="J36" s="73" t="s">
        <v>65</v>
      </c>
      <c r="L36" s="74" t="s">
        <v>65</v>
      </c>
      <c r="M36" s="75">
        <v>0.0</v>
      </c>
      <c r="N36" s="118"/>
      <c r="O36" s="76"/>
    </row>
    <row r="37" ht="13.5" customHeight="1">
      <c r="A37" s="94"/>
      <c r="B37" s="7" t="s">
        <v>24</v>
      </c>
      <c r="C37" s="76">
        <f t="shared" si="8"/>
        <v>0.18</v>
      </c>
      <c r="D37" s="79">
        <v>2.0</v>
      </c>
      <c r="E37" s="80" t="str">
        <f t="shared" si="9"/>
        <v>#REF!</v>
      </c>
      <c r="F37" s="81">
        <f t="shared" si="10"/>
        <v>0.16</v>
      </c>
      <c r="G37" s="82">
        <f t="shared" si="3"/>
        <v>0.12</v>
      </c>
      <c r="H37" s="83">
        <f t="shared" si="4"/>
        <v>0.093</v>
      </c>
      <c r="I37" s="85">
        <f t="shared" si="5"/>
        <v>0.09</v>
      </c>
      <c r="J37" s="86" t="s">
        <v>66</v>
      </c>
      <c r="L37" s="87" t="s">
        <v>66</v>
      </c>
      <c r="M37" s="75">
        <v>0.0</v>
      </c>
      <c r="N37" s="118"/>
      <c r="O37" s="76"/>
    </row>
    <row r="38" ht="13.5" customHeight="1">
      <c r="A38" s="62"/>
      <c r="B38" s="108" t="s">
        <v>25</v>
      </c>
      <c r="C38" s="109">
        <f t="shared" si="8"/>
        <v>0.18</v>
      </c>
      <c r="D38" s="66">
        <v>1.0</v>
      </c>
      <c r="E38" s="90" t="str">
        <f t="shared" si="9"/>
        <v>#REF!</v>
      </c>
      <c r="F38" s="68">
        <f>F39</f>
        <v>0.16</v>
      </c>
      <c r="G38" s="70">
        <f t="shared" si="3"/>
        <v>0.12</v>
      </c>
      <c r="H38" s="71">
        <f t="shared" si="4"/>
        <v>0.093</v>
      </c>
      <c r="I38" s="72">
        <f t="shared" si="5"/>
        <v>0.09</v>
      </c>
      <c r="J38" s="73" t="s">
        <v>67</v>
      </c>
      <c r="L38" s="74" t="s">
        <v>67</v>
      </c>
      <c r="M38" s="75">
        <v>0.0</v>
      </c>
      <c r="N38" s="118"/>
      <c r="O38" s="76"/>
    </row>
    <row r="39" ht="13.5" customHeight="1">
      <c r="A39" s="112"/>
      <c r="B39" s="113" t="s">
        <v>68</v>
      </c>
      <c r="C39" s="114" t="str">
        <f>#REF!</f>
        <v>#REF!</v>
      </c>
      <c r="D39" s="115">
        <v>0.0</v>
      </c>
      <c r="E39" s="116">
        <v>0.0</v>
      </c>
      <c r="F39" s="117">
        <f>F37</f>
        <v>0.16</v>
      </c>
      <c r="G39" s="119" t="str">
        <f t="shared" si="3"/>
        <v>#REF!</v>
      </c>
      <c r="H39" s="121" t="str">
        <f t="shared" si="4"/>
        <v>#REF!</v>
      </c>
      <c r="I39" s="122" t="str">
        <f t="shared" si="5"/>
        <v>#REF!</v>
      </c>
      <c r="J39" s="123" t="s">
        <v>70</v>
      </c>
      <c r="L39" s="124" t="s">
        <v>70</v>
      </c>
      <c r="M39" s="125">
        <v>0.0</v>
      </c>
      <c r="N39" s="118"/>
      <c r="O39" s="76"/>
    </row>
    <row r="40" ht="12.75" customHeight="1">
      <c r="B40" s="7"/>
      <c r="C40" s="76"/>
      <c r="D40" s="76"/>
      <c r="E40" s="76"/>
      <c r="F40" s="76"/>
      <c r="G40" s="76"/>
      <c r="H40" s="76"/>
      <c r="I40" s="76"/>
      <c r="J40" s="91"/>
      <c r="K40" s="49"/>
      <c r="L40" s="7"/>
      <c r="M40" s="126"/>
      <c r="N40" s="126"/>
      <c r="O40" s="126"/>
      <c r="P40" s="126"/>
      <c r="Q40" s="126"/>
      <c r="R40" s="126"/>
      <c r="S40" s="126"/>
      <c r="T40" s="91"/>
    </row>
    <row r="41" ht="12.75" customHeight="1">
      <c r="A41" s="49"/>
      <c r="B41" s="7"/>
      <c r="C41" s="76"/>
      <c r="D41" s="76"/>
      <c r="E41" s="76"/>
      <c r="F41" s="76"/>
      <c r="G41" s="76"/>
      <c r="H41" s="76"/>
      <c r="I41" s="76"/>
      <c r="J41" s="91"/>
      <c r="K41" s="49"/>
      <c r="L41" s="7"/>
      <c r="M41" s="126"/>
      <c r="N41" s="126"/>
      <c r="O41" s="126"/>
      <c r="P41" s="126"/>
      <c r="Q41" s="126"/>
      <c r="R41" s="126"/>
      <c r="S41" s="126"/>
      <c r="T41" s="91"/>
    </row>
    <row r="42" ht="12.75" customHeight="1">
      <c r="A42" s="49"/>
      <c r="B42" s="7"/>
      <c r="C42" s="76"/>
      <c r="D42" s="76"/>
      <c r="E42" s="76"/>
      <c r="F42" s="76"/>
      <c r="G42" s="76"/>
      <c r="H42" s="76"/>
      <c r="I42" s="76"/>
      <c r="J42" s="91"/>
      <c r="K42" s="49"/>
      <c r="L42" s="7"/>
      <c r="M42" s="126"/>
      <c r="N42" s="126"/>
      <c r="O42" s="126"/>
      <c r="P42" s="126"/>
      <c r="Q42" s="126"/>
      <c r="R42" s="126"/>
      <c r="S42" s="126"/>
      <c r="T42" s="91"/>
    </row>
    <row r="43" ht="12.75" customHeight="1">
      <c r="B43" s="7"/>
      <c r="C43" s="76"/>
      <c r="D43" s="76"/>
      <c r="E43" s="76"/>
      <c r="F43" s="76"/>
      <c r="G43" s="76"/>
      <c r="H43" s="76"/>
      <c r="I43" s="76"/>
      <c r="J43" s="91"/>
      <c r="K43" s="49"/>
      <c r="L43" s="7"/>
      <c r="M43" s="126"/>
      <c r="N43" s="126"/>
      <c r="O43" s="126"/>
      <c r="P43" s="126"/>
      <c r="Q43" s="126"/>
      <c r="R43" s="126"/>
      <c r="S43" s="126"/>
      <c r="T43" s="91"/>
    </row>
    <row r="44" ht="12.75" customHeight="1">
      <c r="B44" s="7"/>
      <c r="C44" s="76"/>
      <c r="D44" s="76"/>
      <c r="E44" s="76"/>
      <c r="F44" s="76"/>
      <c r="G44" s="151" t="s">
        <v>71</v>
      </c>
      <c r="H44" s="153"/>
      <c r="I44" s="155"/>
      <c r="J44" s="91"/>
      <c r="K44" s="49"/>
      <c r="L44" s="7"/>
      <c r="M44" s="126"/>
      <c r="N44" s="126"/>
      <c r="O44" s="126"/>
      <c r="P44" s="126"/>
      <c r="Q44" s="126"/>
      <c r="R44" s="126"/>
      <c r="S44" s="126"/>
      <c r="T44" s="91"/>
    </row>
    <row r="45">
      <c r="D45" s="127"/>
      <c r="E45" s="127"/>
      <c r="F45" s="127"/>
      <c r="G45" s="127"/>
      <c r="H45" s="128"/>
      <c r="L45" s="35" t="s">
        <v>30</v>
      </c>
    </row>
    <row r="46" ht="12.75" customHeight="1">
      <c r="A46" s="129"/>
      <c r="B46" s="34"/>
      <c r="C46" s="36" t="s">
        <v>31</v>
      </c>
      <c r="D46" s="36" t="s">
        <v>33</v>
      </c>
      <c r="E46" s="37" t="s">
        <v>35</v>
      </c>
      <c r="F46" s="45" t="s">
        <v>41</v>
      </c>
      <c r="G46" s="47" t="s">
        <v>42</v>
      </c>
      <c r="H46" s="40" t="s">
        <v>38</v>
      </c>
      <c r="I46" s="41" t="s">
        <v>39</v>
      </c>
      <c r="J46" s="130"/>
      <c r="L46" s="43" t="s">
        <v>33</v>
      </c>
      <c r="M46" s="44" t="s">
        <v>40</v>
      </c>
    </row>
    <row r="47" ht="12.75" customHeight="1">
      <c r="A47" s="131"/>
      <c r="B47" s="7" t="s">
        <v>3</v>
      </c>
      <c r="C47" s="49" t="s">
        <v>43</v>
      </c>
      <c r="D47" s="7" t="s">
        <v>44</v>
      </c>
      <c r="E47" s="52"/>
      <c r="F47" s="53" t="s">
        <v>46</v>
      </c>
      <c r="G47" s="54" t="s">
        <v>46</v>
      </c>
      <c r="H47" s="56" t="s">
        <v>47</v>
      </c>
      <c r="I47" s="58" t="s">
        <v>37</v>
      </c>
      <c r="J47" s="59" t="s">
        <v>33</v>
      </c>
      <c r="L47" s="60"/>
      <c r="M47" s="61" t="s">
        <v>48</v>
      </c>
      <c r="N47" s="64"/>
    </row>
    <row r="48" ht="12.75" customHeight="1">
      <c r="A48" s="62"/>
      <c r="B48" s="63" t="s">
        <v>5</v>
      </c>
      <c r="C48" s="135">
        <f t="shared" ref="C48:C59" si="11">J4</f>
        <v>0.158</v>
      </c>
      <c r="D48" s="133">
        <v>13.0</v>
      </c>
      <c r="E48" s="141">
        <v>0.007</v>
      </c>
      <c r="F48" s="136">
        <f t="shared" ref="F48:F59" si="12">I48+$D$17</f>
        <v>0.149</v>
      </c>
      <c r="G48" s="70">
        <f t="shared" ref="G48:G59" si="13">I48+$D$18</f>
        <v>0.109</v>
      </c>
      <c r="H48" s="71">
        <f t="shared" ref="H48:H61" si="14">I48+0.003</f>
        <v>0.082</v>
      </c>
      <c r="I48" s="72">
        <f t="shared" ref="I48:I61" si="15">C48/2</f>
        <v>0.079</v>
      </c>
      <c r="J48" s="73" t="s">
        <v>49</v>
      </c>
      <c r="L48" s="74" t="s">
        <v>49</v>
      </c>
      <c r="M48" s="137">
        <v>0.06799999999999999</v>
      </c>
      <c r="N48" s="84">
        <f t="shared" ref="N48:N57" si="16">M49+E48</f>
        <v>0.068</v>
      </c>
      <c r="O48" s="72"/>
    </row>
    <row r="49" ht="12.75" customHeight="1">
      <c r="A49" s="77" t="s">
        <v>69</v>
      </c>
      <c r="B49" s="7" t="s">
        <v>9</v>
      </c>
      <c r="C49" s="20">
        <f t="shared" si="11"/>
        <v>0.172</v>
      </c>
      <c r="D49" s="79">
        <v>12.0</v>
      </c>
      <c r="E49" s="141">
        <v>0.008</v>
      </c>
      <c r="F49" s="139">
        <f t="shared" si="12"/>
        <v>0.156</v>
      </c>
      <c r="G49" s="82">
        <f t="shared" si="13"/>
        <v>0.116</v>
      </c>
      <c r="H49" s="83">
        <f t="shared" si="14"/>
        <v>0.089</v>
      </c>
      <c r="I49" s="85">
        <f t="shared" si="15"/>
        <v>0.086</v>
      </c>
      <c r="J49" s="86" t="s">
        <v>51</v>
      </c>
      <c r="L49" s="87" t="s">
        <v>51</v>
      </c>
      <c r="M49" s="137">
        <v>0.061</v>
      </c>
      <c r="N49" s="84">
        <f t="shared" si="16"/>
        <v>0.061</v>
      </c>
      <c r="O49" s="85"/>
    </row>
    <row r="50" ht="12.75" customHeight="1">
      <c r="A50" s="62"/>
      <c r="B50" s="63" t="s">
        <v>13</v>
      </c>
      <c r="C50" s="135">
        <f t="shared" si="11"/>
        <v>0.188</v>
      </c>
      <c r="D50" s="133">
        <v>11.0</v>
      </c>
      <c r="E50" s="141">
        <v>0.006</v>
      </c>
      <c r="F50" s="136">
        <f t="shared" si="12"/>
        <v>0.164</v>
      </c>
      <c r="G50" s="70">
        <f t="shared" si="13"/>
        <v>0.124</v>
      </c>
      <c r="H50" s="71">
        <f t="shared" si="14"/>
        <v>0.097</v>
      </c>
      <c r="I50" s="72">
        <f t="shared" si="15"/>
        <v>0.094</v>
      </c>
      <c r="J50" s="73" t="s">
        <v>52</v>
      </c>
      <c r="L50" s="74" t="s">
        <v>52</v>
      </c>
      <c r="M50" s="137">
        <v>0.05299999999999999</v>
      </c>
      <c r="N50" s="84">
        <f t="shared" si="16"/>
        <v>0.053</v>
      </c>
    </row>
    <row r="51" ht="12.75" customHeight="1">
      <c r="A51" s="48"/>
      <c r="B51" s="7" t="s">
        <v>16</v>
      </c>
      <c r="C51" s="20">
        <f t="shared" si="11"/>
        <v>0.2</v>
      </c>
      <c r="D51" s="79">
        <v>10.0</v>
      </c>
      <c r="E51" s="141">
        <v>0.005</v>
      </c>
      <c r="F51" s="139">
        <f t="shared" si="12"/>
        <v>0.17</v>
      </c>
      <c r="G51" s="82">
        <f t="shared" si="13"/>
        <v>0.13</v>
      </c>
      <c r="H51" s="83">
        <f t="shared" si="14"/>
        <v>0.103</v>
      </c>
      <c r="I51" s="85">
        <f t="shared" si="15"/>
        <v>0.1</v>
      </c>
      <c r="J51" s="86" t="s">
        <v>53</v>
      </c>
      <c r="L51" s="87" t="s">
        <v>53</v>
      </c>
      <c r="M51" s="137">
        <v>0.046999999999999986</v>
      </c>
      <c r="N51" s="84">
        <f t="shared" si="16"/>
        <v>0.047</v>
      </c>
    </row>
    <row r="52" ht="12.75" customHeight="1">
      <c r="A52" s="62"/>
      <c r="B52" s="63" t="s">
        <v>17</v>
      </c>
      <c r="C52" s="135">
        <f t="shared" si="11"/>
        <v>0.21</v>
      </c>
      <c r="D52" s="133">
        <v>9.0</v>
      </c>
      <c r="E52" s="141">
        <v>0.008</v>
      </c>
      <c r="F52" s="136">
        <f t="shared" si="12"/>
        <v>0.175</v>
      </c>
      <c r="G52" s="70">
        <f t="shared" si="13"/>
        <v>0.135</v>
      </c>
      <c r="H52" s="71">
        <f t="shared" si="14"/>
        <v>0.108</v>
      </c>
      <c r="I52" s="72">
        <f t="shared" si="15"/>
        <v>0.105</v>
      </c>
      <c r="J52" s="73" t="s">
        <v>54</v>
      </c>
      <c r="L52" s="74" t="s">
        <v>54</v>
      </c>
      <c r="M52" s="137">
        <v>0.041999999999999996</v>
      </c>
      <c r="N52" s="84">
        <f t="shared" si="16"/>
        <v>0.042</v>
      </c>
    </row>
    <row r="53" ht="12.75" customHeight="1">
      <c r="A53" s="48"/>
      <c r="B53" s="7" t="s">
        <v>18</v>
      </c>
      <c r="C53" s="20">
        <f t="shared" si="11"/>
        <v>0.226</v>
      </c>
      <c r="D53" s="97">
        <v>8.0</v>
      </c>
      <c r="E53" s="164">
        <v>0.006</v>
      </c>
      <c r="F53" s="165">
        <f t="shared" si="12"/>
        <v>0.183</v>
      </c>
      <c r="G53" s="100">
        <f t="shared" si="13"/>
        <v>0.143</v>
      </c>
      <c r="H53" s="103">
        <f t="shared" si="14"/>
        <v>0.116</v>
      </c>
      <c r="I53" s="104">
        <f t="shared" si="15"/>
        <v>0.113</v>
      </c>
      <c r="J53" s="105" t="s">
        <v>55</v>
      </c>
      <c r="L53" s="87" t="s">
        <v>55</v>
      </c>
      <c r="M53" s="137">
        <v>0.03399999999999999</v>
      </c>
      <c r="N53" s="84">
        <f t="shared" si="16"/>
        <v>0.034</v>
      </c>
    </row>
    <row r="54" ht="12.75" customHeight="1">
      <c r="A54" s="62"/>
      <c r="B54" s="63" t="s">
        <v>19</v>
      </c>
      <c r="C54" s="135">
        <f t="shared" si="11"/>
        <v>0.238</v>
      </c>
      <c r="D54" s="133">
        <v>7.0</v>
      </c>
      <c r="E54" s="141">
        <v>0.007</v>
      </c>
      <c r="F54" s="136">
        <f t="shared" si="12"/>
        <v>0.189</v>
      </c>
      <c r="G54" s="70">
        <f t="shared" si="13"/>
        <v>0.149</v>
      </c>
      <c r="H54" s="71">
        <f t="shared" si="14"/>
        <v>0.122</v>
      </c>
      <c r="I54" s="72">
        <f t="shared" si="15"/>
        <v>0.119</v>
      </c>
      <c r="J54" s="73" t="s">
        <v>56</v>
      </c>
      <c r="L54" s="74" t="s">
        <v>56</v>
      </c>
      <c r="M54" s="137">
        <v>0.027999999999999997</v>
      </c>
      <c r="N54" s="84">
        <f t="shared" si="16"/>
        <v>0.028</v>
      </c>
    </row>
    <row r="55" ht="12.75" customHeight="1">
      <c r="A55" s="48"/>
      <c r="B55" s="7" t="s">
        <v>20</v>
      </c>
      <c r="C55" s="20">
        <f t="shared" si="11"/>
        <v>0.252</v>
      </c>
      <c r="D55" s="79">
        <v>6.0</v>
      </c>
      <c r="E55" s="141">
        <v>0.007</v>
      </c>
      <c r="F55" s="139">
        <f t="shared" si="12"/>
        <v>0.196</v>
      </c>
      <c r="G55" s="82">
        <f t="shared" si="13"/>
        <v>0.156</v>
      </c>
      <c r="H55" s="83">
        <f t="shared" si="14"/>
        <v>0.129</v>
      </c>
      <c r="I55" s="85">
        <f t="shared" si="15"/>
        <v>0.126</v>
      </c>
      <c r="J55" s="86" t="s">
        <v>57</v>
      </c>
      <c r="L55" s="87" t="s">
        <v>57</v>
      </c>
      <c r="M55" s="137">
        <v>0.02099999999999999</v>
      </c>
      <c r="N55" s="84">
        <f t="shared" si="16"/>
        <v>0.021</v>
      </c>
    </row>
    <row r="56" ht="12.75" customHeight="1">
      <c r="A56" s="62"/>
      <c r="B56" s="63" t="s">
        <v>21</v>
      </c>
      <c r="C56" s="135">
        <f t="shared" si="11"/>
        <v>0.266</v>
      </c>
      <c r="D56" s="133">
        <v>5.0</v>
      </c>
      <c r="E56" s="141">
        <v>0.006</v>
      </c>
      <c r="F56" s="136">
        <f t="shared" si="12"/>
        <v>0.203</v>
      </c>
      <c r="G56" s="70">
        <f t="shared" si="13"/>
        <v>0.163</v>
      </c>
      <c r="H56" s="71">
        <f t="shared" si="14"/>
        <v>0.136</v>
      </c>
      <c r="I56" s="72">
        <f t="shared" si="15"/>
        <v>0.133</v>
      </c>
      <c r="J56" s="73" t="s">
        <v>58</v>
      </c>
      <c r="L56" s="74" t="s">
        <v>58</v>
      </c>
      <c r="M56" s="137">
        <v>0.013999999999999985</v>
      </c>
      <c r="N56" s="84">
        <f t="shared" si="16"/>
        <v>0.014</v>
      </c>
    </row>
    <row r="57" ht="12.75" customHeight="1">
      <c r="A57" s="48"/>
      <c r="B57" s="7" t="s">
        <v>22</v>
      </c>
      <c r="C57" s="20">
        <f t="shared" si="11"/>
        <v>0.278</v>
      </c>
      <c r="D57" s="79">
        <v>4.0</v>
      </c>
      <c r="E57" s="141">
        <v>0.008</v>
      </c>
      <c r="F57" s="139">
        <f t="shared" si="12"/>
        <v>0.209</v>
      </c>
      <c r="G57" s="82">
        <f t="shared" si="13"/>
        <v>0.169</v>
      </c>
      <c r="H57" s="83">
        <f t="shared" si="14"/>
        <v>0.142</v>
      </c>
      <c r="I57" s="85">
        <f t="shared" si="15"/>
        <v>0.139</v>
      </c>
      <c r="J57" s="86" t="s">
        <v>59</v>
      </c>
      <c r="L57" s="87" t="s">
        <v>59</v>
      </c>
      <c r="M57" s="137">
        <v>0.00799999999999998</v>
      </c>
      <c r="N57" s="84">
        <f t="shared" si="16"/>
        <v>0.008</v>
      </c>
    </row>
    <row r="58" ht="12.75" customHeight="1">
      <c r="A58" s="62"/>
      <c r="B58" s="63" t="s">
        <v>23</v>
      </c>
      <c r="C58" s="135">
        <f t="shared" si="11"/>
        <v>0.294</v>
      </c>
      <c r="D58" s="133">
        <v>3.0</v>
      </c>
      <c r="E58" s="134">
        <f>(I59-I58)+E59</f>
        <v>0</v>
      </c>
      <c r="F58" s="136">
        <f t="shared" si="12"/>
        <v>0.217</v>
      </c>
      <c r="G58" s="70">
        <f t="shared" si="13"/>
        <v>0.177</v>
      </c>
      <c r="H58" s="71">
        <f t="shared" si="14"/>
        <v>0.15</v>
      </c>
      <c r="I58" s="72">
        <f t="shared" si="15"/>
        <v>0.147</v>
      </c>
      <c r="J58" s="73" t="s">
        <v>65</v>
      </c>
      <c r="L58" s="74" t="s">
        <v>65</v>
      </c>
      <c r="M58" s="137">
        <v>0.0</v>
      </c>
      <c r="N58" s="166"/>
    </row>
    <row r="59" ht="12.75" customHeight="1">
      <c r="A59" s="48"/>
      <c r="B59" s="7" t="s">
        <v>24</v>
      </c>
      <c r="C59" s="20">
        <f t="shared" si="11"/>
        <v>0.294</v>
      </c>
      <c r="D59" s="79">
        <v>2.0</v>
      </c>
      <c r="E59" s="134">
        <v>0.0</v>
      </c>
      <c r="F59" s="139">
        <f t="shared" si="12"/>
        <v>0.217</v>
      </c>
      <c r="G59" s="82">
        <f t="shared" si="13"/>
        <v>0.177</v>
      </c>
      <c r="H59" s="83">
        <f t="shared" si="14"/>
        <v>0.15</v>
      </c>
      <c r="I59" s="85">
        <f t="shared" si="15"/>
        <v>0.147</v>
      </c>
      <c r="J59" s="86" t="s">
        <v>66</v>
      </c>
      <c r="L59" s="87" t="s">
        <v>66</v>
      </c>
      <c r="M59" s="137">
        <v>0.0</v>
      </c>
      <c r="N59" s="166"/>
    </row>
    <row r="60" ht="12.75" customHeight="1">
      <c r="A60" s="62"/>
      <c r="B60" s="63"/>
      <c r="C60" s="154">
        <f>J15</f>
        <v>0.294</v>
      </c>
      <c r="D60" s="133">
        <v>1.0</v>
      </c>
      <c r="E60" s="134">
        <f>(I61-I60)+E61</f>
        <v>0</v>
      </c>
      <c r="F60" s="136">
        <f>F61</f>
        <v>0.217</v>
      </c>
      <c r="G60" s="70">
        <f t="shared" ref="G60:G61" si="17">G59</f>
        <v>0.177</v>
      </c>
      <c r="H60" s="71">
        <f t="shared" si="14"/>
        <v>0.15</v>
      </c>
      <c r="I60" s="72">
        <f t="shared" si="15"/>
        <v>0.147</v>
      </c>
      <c r="J60" s="73" t="s">
        <v>67</v>
      </c>
      <c r="L60" s="74" t="s">
        <v>67</v>
      </c>
      <c r="M60" s="137">
        <v>0.0</v>
      </c>
      <c r="N60" s="166"/>
    </row>
    <row r="61" ht="13.5" customHeight="1">
      <c r="A61" s="112"/>
      <c r="B61" s="142"/>
      <c r="C61" s="143">
        <f>J15</f>
        <v>0.294</v>
      </c>
      <c r="D61" s="115">
        <v>0.0</v>
      </c>
      <c r="E61" s="144">
        <v>0.0</v>
      </c>
      <c r="F61" s="145">
        <f>F59</f>
        <v>0.217</v>
      </c>
      <c r="G61" s="119">
        <f t="shared" si="17"/>
        <v>0.177</v>
      </c>
      <c r="H61" s="121">
        <f t="shared" si="14"/>
        <v>0.15</v>
      </c>
      <c r="I61" s="146">
        <f t="shared" si="15"/>
        <v>0.147</v>
      </c>
      <c r="J61" s="123" t="s">
        <v>70</v>
      </c>
      <c r="L61" s="124" t="s">
        <v>70</v>
      </c>
      <c r="M61" s="147">
        <v>0.0</v>
      </c>
      <c r="N61" s="166"/>
    </row>
    <row r="62" ht="12.75" customHeight="1">
      <c r="A62" s="95"/>
      <c r="B62" s="88"/>
      <c r="C62" s="126"/>
      <c r="D62" s="148"/>
      <c r="E62" s="149"/>
      <c r="F62" s="79"/>
      <c r="G62" s="150"/>
      <c r="H62" s="95"/>
      <c r="I62" s="152"/>
      <c r="J62" s="91"/>
    </row>
    <row r="63" ht="12.75" customHeight="1">
      <c r="A63" s="95"/>
      <c r="B63" s="88"/>
      <c r="C63" s="126"/>
      <c r="D63" s="148"/>
      <c r="E63" s="149"/>
      <c r="F63" s="79"/>
      <c r="G63" s="150"/>
      <c r="H63" s="126"/>
      <c r="I63" s="152"/>
      <c r="J63" s="91"/>
    </row>
    <row r="64" ht="12.75" customHeight="1">
      <c r="A64" s="49"/>
      <c r="B64" s="7"/>
      <c r="C64" s="126"/>
      <c r="D64" s="148"/>
      <c r="E64" s="149"/>
      <c r="F64" s="79"/>
      <c r="G64" s="150"/>
      <c r="H64" s="126"/>
      <c r="I64" s="152"/>
      <c r="J64" s="91"/>
    </row>
    <row r="65" ht="12.75" customHeight="1">
      <c r="A65" s="49"/>
      <c r="B65" s="7"/>
      <c r="C65" s="126"/>
      <c r="D65" s="148"/>
      <c r="E65" s="149"/>
      <c r="F65" s="79"/>
      <c r="G65" s="150"/>
      <c r="H65" s="126"/>
      <c r="I65" s="152"/>
      <c r="J65" s="91"/>
      <c r="M65" s="49"/>
      <c r="T65" s="156"/>
    </row>
    <row r="66" ht="12.75" customHeight="1">
      <c r="A66" s="5"/>
      <c r="B66" s="156"/>
      <c r="D66" s="49"/>
      <c r="E66" s="49"/>
      <c r="F66" s="49"/>
      <c r="G66" s="49"/>
      <c r="J66" s="157"/>
      <c r="M66" s="49"/>
      <c r="T66" s="157"/>
    </row>
    <row r="67" ht="12.75" customHeight="1">
      <c r="A67" s="5"/>
      <c r="B67" s="158"/>
      <c r="M67" s="49"/>
      <c r="T67" s="157"/>
    </row>
    <row r="68" ht="12.75" customHeight="1">
      <c r="A68" s="5"/>
      <c r="B68" s="159"/>
      <c r="D68" s="49"/>
      <c r="E68" s="49"/>
      <c r="F68" s="49"/>
      <c r="G68" s="49"/>
      <c r="K68" s="156"/>
      <c r="M68" s="49"/>
      <c r="T68" s="157"/>
    </row>
    <row r="69" ht="12.75" customHeight="1">
      <c r="A69" s="5"/>
      <c r="B69" s="157"/>
      <c r="D69" s="49"/>
      <c r="E69" s="49"/>
      <c r="F69" s="49"/>
      <c r="G69" s="49"/>
      <c r="K69" s="156"/>
    </row>
    <row r="70" ht="12.75" customHeight="1">
      <c r="A70" s="5"/>
      <c r="B70" s="160"/>
      <c r="M70" s="91"/>
      <c r="N70" s="5"/>
      <c r="O70" s="5"/>
      <c r="P70" s="5"/>
      <c r="Q70" s="5"/>
      <c r="R70" s="91"/>
      <c r="S70" s="46"/>
    </row>
    <row r="71" ht="12.75" customHeight="1">
      <c r="A71" s="91"/>
      <c r="B71" s="7"/>
      <c r="C71" s="46"/>
      <c r="D71" s="46"/>
      <c r="E71" s="46"/>
      <c r="F71" s="46"/>
      <c r="G71" s="46"/>
      <c r="H71" s="91"/>
      <c r="I71" s="91"/>
      <c r="J71" s="91"/>
      <c r="K71" s="91"/>
      <c r="M71" s="91"/>
      <c r="N71" s="49"/>
      <c r="O71" s="49"/>
      <c r="P71" s="49"/>
      <c r="Q71" s="49"/>
      <c r="R71" s="46"/>
      <c r="T71" s="46"/>
      <c r="U71" s="7"/>
    </row>
    <row r="72" ht="12.75" customHeight="1">
      <c r="A72" s="7"/>
      <c r="B72" s="128"/>
      <c r="D72" s="7"/>
      <c r="E72" s="7"/>
      <c r="F72" s="7"/>
      <c r="G72" s="7"/>
      <c r="H72" s="7"/>
      <c r="I72" s="7"/>
      <c r="J72" s="7"/>
      <c r="K72" s="7"/>
      <c r="M72" s="7"/>
      <c r="R72" s="7"/>
      <c r="S72" s="7"/>
      <c r="T72" s="7"/>
      <c r="U72" s="7"/>
    </row>
    <row r="73" ht="12.75" customHeight="1">
      <c r="A73" s="7"/>
      <c r="B73" s="10"/>
      <c r="C73" s="76"/>
      <c r="D73" s="162"/>
      <c r="E73" s="162"/>
      <c r="F73" s="162"/>
      <c r="G73" s="162"/>
      <c r="H73" s="162"/>
      <c r="I73" s="162"/>
      <c r="J73" s="91"/>
      <c r="K73" s="91"/>
      <c r="M73" s="7"/>
      <c r="N73" s="10"/>
      <c r="O73" s="10"/>
      <c r="P73" s="10"/>
      <c r="Q73" s="10"/>
      <c r="R73" s="162"/>
      <c r="S73" s="162"/>
      <c r="T73" s="162"/>
      <c r="U73" s="91"/>
    </row>
    <row r="74" ht="12.75" customHeight="1">
      <c r="A74" s="7"/>
      <c r="B74" s="10"/>
      <c r="C74" s="76"/>
      <c r="D74" s="162"/>
      <c r="E74" s="162"/>
      <c r="F74" s="162"/>
      <c r="G74" s="162"/>
      <c r="H74" s="162"/>
      <c r="I74" s="162"/>
      <c r="J74" s="91"/>
      <c r="K74" s="88"/>
      <c r="M74" s="7"/>
      <c r="N74" s="10"/>
      <c r="O74" s="10"/>
      <c r="P74" s="10"/>
      <c r="Q74" s="10"/>
      <c r="R74" s="162"/>
      <c r="S74" s="162"/>
      <c r="T74" s="162"/>
      <c r="U74" s="91"/>
      <c r="V74" s="88"/>
    </row>
    <row r="75" ht="12.75" customHeight="1">
      <c r="A75" s="7"/>
      <c r="B75" s="10"/>
      <c r="C75" s="76"/>
      <c r="D75" s="162"/>
      <c r="E75" s="162"/>
      <c r="F75" s="162"/>
      <c r="G75" s="162"/>
      <c r="H75" s="162"/>
      <c r="I75" s="162"/>
      <c r="J75" s="91"/>
      <c r="K75" s="91"/>
      <c r="M75" s="7"/>
      <c r="N75" s="10"/>
      <c r="O75" s="10"/>
      <c r="P75" s="10"/>
      <c r="Q75" s="10"/>
      <c r="R75" s="162"/>
      <c r="S75" s="162"/>
      <c r="T75" s="162"/>
      <c r="U75" s="91"/>
      <c r="V75" s="91"/>
    </row>
    <row r="76" ht="12.75" customHeight="1">
      <c r="A76" s="7"/>
      <c r="B76" s="10"/>
      <c r="C76" s="76"/>
      <c r="D76" s="162"/>
      <c r="E76" s="162"/>
      <c r="F76" s="162"/>
      <c r="G76" s="162"/>
      <c r="H76" s="162"/>
      <c r="I76" s="162"/>
      <c r="J76" s="91"/>
      <c r="K76" s="91"/>
      <c r="M76" s="7"/>
      <c r="N76" s="10"/>
      <c r="O76" s="10"/>
      <c r="P76" s="10"/>
      <c r="Q76" s="10"/>
      <c r="R76" s="162"/>
      <c r="S76" s="162"/>
      <c r="T76" s="162"/>
      <c r="U76" s="91"/>
      <c r="V76" s="91"/>
    </row>
    <row r="77" ht="12.75" customHeight="1">
      <c r="A77" s="7"/>
      <c r="B77" s="10"/>
      <c r="C77" s="76"/>
      <c r="D77" s="162"/>
      <c r="E77" s="162"/>
      <c r="F77" s="162"/>
      <c r="G77" s="162"/>
      <c r="H77" s="162"/>
      <c r="I77" s="162"/>
      <c r="J77" s="91"/>
      <c r="K77" s="88"/>
      <c r="M77" s="7"/>
      <c r="N77" s="10"/>
      <c r="O77" s="10"/>
      <c r="P77" s="10"/>
      <c r="Q77" s="10"/>
      <c r="R77" s="162"/>
      <c r="S77" s="162"/>
      <c r="T77" s="162"/>
      <c r="U77" s="91"/>
      <c r="V77" s="88"/>
    </row>
    <row r="78" ht="12.75" customHeight="1">
      <c r="A78" s="7"/>
      <c r="B78" s="10"/>
      <c r="C78" s="76"/>
      <c r="D78" s="162"/>
      <c r="E78" s="162"/>
      <c r="F78" s="162"/>
      <c r="G78" s="162"/>
      <c r="H78" s="162"/>
      <c r="I78" s="162"/>
      <c r="J78" s="91"/>
      <c r="K78" s="91"/>
      <c r="M78" s="7"/>
      <c r="N78" s="10"/>
      <c r="O78" s="10"/>
      <c r="P78" s="10"/>
      <c r="Q78" s="10"/>
      <c r="R78" s="162"/>
      <c r="S78" s="162"/>
      <c r="T78" s="162"/>
      <c r="U78" s="91"/>
      <c r="V78" s="91"/>
    </row>
    <row r="79" ht="12.75" customHeight="1">
      <c r="A79" s="7"/>
      <c r="B79" s="10"/>
      <c r="C79" s="76"/>
      <c r="D79" s="162"/>
      <c r="E79" s="162"/>
      <c r="F79" s="162"/>
      <c r="G79" s="162"/>
      <c r="H79" s="162"/>
      <c r="I79" s="162"/>
      <c r="J79" s="91"/>
      <c r="K79" s="91"/>
      <c r="M79" s="7"/>
      <c r="N79" s="10"/>
      <c r="O79" s="10"/>
      <c r="P79" s="10"/>
      <c r="Q79" s="10"/>
      <c r="R79" s="162"/>
      <c r="S79" s="162"/>
      <c r="T79" s="162"/>
      <c r="U79" s="91"/>
      <c r="V79" s="91"/>
    </row>
    <row r="80" ht="12.75" customHeight="1">
      <c r="A80" s="7"/>
      <c r="B80" s="10"/>
      <c r="C80" s="76"/>
      <c r="D80" s="162"/>
      <c r="E80" s="162"/>
      <c r="F80" s="162"/>
      <c r="G80" s="162"/>
      <c r="H80" s="162"/>
      <c r="I80" s="162"/>
      <c r="J80" s="91"/>
      <c r="K80" s="88"/>
      <c r="M80" s="7"/>
      <c r="N80" s="10"/>
      <c r="O80" s="10"/>
      <c r="P80" s="10"/>
      <c r="Q80" s="10"/>
      <c r="R80" s="162"/>
      <c r="S80" s="162"/>
      <c r="T80" s="162"/>
      <c r="U80" s="91"/>
      <c r="V80" s="88"/>
    </row>
    <row r="81" ht="12.75" customHeight="1">
      <c r="A81" s="7"/>
      <c r="B81" s="10"/>
      <c r="C81" s="76"/>
      <c r="D81" s="162"/>
      <c r="E81" s="162"/>
      <c r="F81" s="162"/>
      <c r="G81" s="162"/>
      <c r="H81" s="162"/>
      <c r="I81" s="162"/>
      <c r="J81" s="91"/>
      <c r="K81" s="91"/>
      <c r="M81" s="7"/>
      <c r="N81" s="10"/>
      <c r="O81" s="10"/>
      <c r="P81" s="10"/>
      <c r="Q81" s="10"/>
      <c r="R81" s="162"/>
      <c r="S81" s="162"/>
      <c r="T81" s="162"/>
      <c r="U81" s="91"/>
      <c r="V81" s="91"/>
    </row>
    <row r="82" ht="12.75" customHeight="1">
      <c r="A82" s="7"/>
      <c r="B82" s="10"/>
      <c r="C82" s="10"/>
      <c r="D82" s="162"/>
      <c r="E82" s="162"/>
      <c r="F82" s="162"/>
      <c r="G82" s="162"/>
      <c r="H82" s="162"/>
      <c r="I82" s="162"/>
      <c r="J82" s="91"/>
      <c r="M82" s="7"/>
      <c r="N82" s="10"/>
      <c r="O82" s="10"/>
      <c r="P82" s="10"/>
      <c r="Q82" s="10"/>
      <c r="R82" s="162"/>
      <c r="S82" s="162"/>
      <c r="T82" s="162"/>
      <c r="U82" s="91"/>
    </row>
    <row r="83" ht="12.75" customHeight="1">
      <c r="A83" s="7"/>
      <c r="B83" s="10"/>
      <c r="C83" s="10"/>
      <c r="D83" s="162"/>
      <c r="E83" s="162"/>
      <c r="F83" s="162"/>
      <c r="G83" s="162"/>
      <c r="H83" s="162"/>
      <c r="I83" s="162"/>
      <c r="J83" s="91"/>
      <c r="K83" s="88"/>
      <c r="M83" s="7"/>
      <c r="N83" s="10"/>
      <c r="O83" s="10"/>
      <c r="P83" s="10"/>
      <c r="Q83" s="10"/>
      <c r="R83" s="162"/>
      <c r="S83" s="162"/>
      <c r="T83" s="162"/>
      <c r="U83" s="91"/>
      <c r="V83" s="91"/>
    </row>
    <row r="84" ht="12.75" customHeight="1">
      <c r="A84" s="7"/>
      <c r="C84" s="10"/>
      <c r="D84" s="162"/>
      <c r="E84" s="162"/>
      <c r="F84" s="162"/>
      <c r="G84" s="162"/>
      <c r="K84" s="91"/>
      <c r="M84" s="7"/>
      <c r="N84" s="10"/>
      <c r="O84" s="10"/>
      <c r="P84" s="10"/>
      <c r="Q84" s="10"/>
      <c r="R84" s="162"/>
      <c r="S84" s="162"/>
      <c r="T84" s="162"/>
      <c r="U84" s="91"/>
      <c r="V84" s="88"/>
    </row>
    <row r="85" ht="12.75" customHeight="1">
      <c r="A85" s="7"/>
      <c r="C85" s="10"/>
      <c r="D85" s="162"/>
      <c r="E85" s="162"/>
      <c r="F85" s="162"/>
      <c r="G85" s="162"/>
      <c r="J85" s="7"/>
      <c r="K85" s="7"/>
      <c r="M85" s="7"/>
      <c r="N85" s="76"/>
      <c r="O85" s="76"/>
      <c r="P85" s="76"/>
      <c r="Q85" s="76"/>
      <c r="R85" s="162"/>
      <c r="S85" s="162"/>
      <c r="T85" s="162"/>
      <c r="U85" s="7"/>
      <c r="V85" s="7"/>
    </row>
    <row r="86" ht="12.75" customHeight="1">
      <c r="A86" s="7"/>
      <c r="C86" s="10"/>
      <c r="D86" s="162"/>
      <c r="E86" s="162"/>
      <c r="F86" s="162"/>
      <c r="G86" s="162"/>
      <c r="J86" s="7"/>
      <c r="K86" s="7"/>
    </row>
    <row r="87" ht="12.75" customHeight="1">
      <c r="A87" s="7"/>
      <c r="C87" s="10"/>
      <c r="D87" s="162"/>
      <c r="E87" s="162"/>
      <c r="F87" s="162"/>
      <c r="G87" s="162"/>
    </row>
    <row r="88" ht="12.75" customHeight="1">
      <c r="A88" s="7"/>
      <c r="B88" s="10"/>
      <c r="C88" s="76"/>
      <c r="D88" s="162"/>
      <c r="E88" s="162"/>
      <c r="F88" s="162"/>
      <c r="G88" s="162"/>
      <c r="H88" s="162"/>
      <c r="I88" s="162"/>
    </row>
    <row r="89" ht="12.75" customHeight="1">
      <c r="A89" s="7"/>
      <c r="B89" s="128"/>
      <c r="C89" s="76"/>
      <c r="D89" s="162"/>
      <c r="E89" s="162"/>
      <c r="F89" s="162"/>
      <c r="G89" s="162"/>
      <c r="H89" s="162"/>
      <c r="I89" s="162"/>
    </row>
    <row r="90" ht="12.75" customHeight="1">
      <c r="A90" s="7"/>
      <c r="B90" s="128"/>
      <c r="C90" s="76"/>
      <c r="D90" s="162"/>
      <c r="E90" s="162"/>
      <c r="F90" s="162"/>
      <c r="G90" s="162"/>
      <c r="H90" s="162"/>
      <c r="I90" s="162"/>
    </row>
    <row r="91" ht="12.75" customHeight="1">
      <c r="A91" s="7"/>
      <c r="B91" s="128"/>
      <c r="C91" s="76"/>
      <c r="D91" s="162"/>
      <c r="E91" s="162"/>
      <c r="F91" s="162"/>
      <c r="G91" s="162"/>
      <c r="H91" s="162"/>
      <c r="I91" s="162"/>
    </row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4">
    <mergeCell ref="A17:C17"/>
    <mergeCell ref="A18:C18"/>
    <mergeCell ref="F18:I18"/>
    <mergeCell ref="G44:I44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8.5"/>
    <col customWidth="1" min="3" max="3" width="10.25"/>
    <col customWidth="1" min="4" max="4" width="7.0"/>
    <col customWidth="1" min="5" max="5" width="8.13"/>
    <col customWidth="1" min="6" max="6" width="8.88"/>
    <col customWidth="1" min="7" max="7" width="7.25"/>
    <col customWidth="1" min="8" max="8" width="7.0"/>
    <col customWidth="1" min="9" max="9" width="7.88"/>
    <col customWidth="1" min="10" max="10" width="8.0"/>
    <col customWidth="1" min="11" max="11" width="8.13"/>
    <col customWidth="1" min="12" max="12" width="7.0"/>
    <col customWidth="1" min="13" max="13" width="11.25"/>
    <col customWidth="1" min="14" max="26" width="7.0"/>
  </cols>
  <sheetData>
    <row r="1">
      <c r="A1" s="1"/>
      <c r="G1" s="2" t="s">
        <v>0</v>
      </c>
      <c r="I1" s="3"/>
    </row>
    <row r="2" ht="12.75" customHeight="1">
      <c r="A2" t="s">
        <v>1</v>
      </c>
    </row>
    <row r="3" ht="12.75" customHeight="1">
      <c r="G3" s="4" t="s">
        <v>2</v>
      </c>
      <c r="H3" s="4"/>
      <c r="I3" s="4"/>
      <c r="J3" s="4" t="s">
        <v>3</v>
      </c>
    </row>
    <row r="4" ht="12.75" customHeight="1">
      <c r="A4" s="5" t="s">
        <v>4</v>
      </c>
      <c r="B4" s="6" t="s">
        <v>72</v>
      </c>
      <c r="G4" s="7" t="s">
        <v>5</v>
      </c>
      <c r="H4" s="26">
        <v>0.054</v>
      </c>
      <c r="I4" t="s">
        <v>6</v>
      </c>
      <c r="J4" s="20">
        <v>0.164</v>
      </c>
      <c r="K4" t="s">
        <v>6</v>
      </c>
      <c r="R4" s="10"/>
    </row>
    <row r="5" ht="12.75" customHeight="1">
      <c r="A5" s="5" t="s">
        <v>8</v>
      </c>
      <c r="B5" s="6" t="s">
        <v>74</v>
      </c>
      <c r="G5" s="7" t="s">
        <v>9</v>
      </c>
      <c r="H5" s="26">
        <v>0.059</v>
      </c>
      <c r="J5" s="20">
        <v>0.178</v>
      </c>
      <c r="R5" s="10"/>
    </row>
    <row r="6" ht="12.75" customHeight="1">
      <c r="A6" s="5" t="s">
        <v>10</v>
      </c>
      <c r="B6" s="12" t="s">
        <v>76</v>
      </c>
      <c r="G6" s="7" t="s">
        <v>13</v>
      </c>
      <c r="H6" s="26">
        <v>0.075</v>
      </c>
      <c r="J6" s="20">
        <v>0.194</v>
      </c>
      <c r="R6" s="10"/>
    </row>
    <row r="7" ht="12.75" customHeight="1">
      <c r="A7" s="5" t="s">
        <v>14</v>
      </c>
      <c r="B7" s="13">
        <v>0.181</v>
      </c>
      <c r="G7" s="7" t="s">
        <v>16</v>
      </c>
      <c r="H7" s="26">
        <v>0.086</v>
      </c>
      <c r="J7" s="20">
        <v>0.202</v>
      </c>
      <c r="R7" s="10"/>
    </row>
    <row r="8" ht="12.75" customHeight="1">
      <c r="G8" s="7" t="s">
        <v>17</v>
      </c>
      <c r="H8" s="26">
        <v>0.103</v>
      </c>
      <c r="J8" s="20">
        <v>0.215</v>
      </c>
      <c r="R8" s="10"/>
    </row>
    <row r="9" ht="12.75" customHeight="1">
      <c r="G9" s="7" t="s">
        <v>18</v>
      </c>
      <c r="H9" s="26">
        <v>0.119</v>
      </c>
      <c r="J9" s="20">
        <v>0.226</v>
      </c>
      <c r="R9" s="10"/>
    </row>
    <row r="10" ht="12.75" customHeight="1">
      <c r="G10" s="7" t="s">
        <v>19</v>
      </c>
      <c r="H10" s="26">
        <v>0.132</v>
      </c>
      <c r="J10" s="20">
        <v>0.243</v>
      </c>
      <c r="R10" s="10"/>
    </row>
    <row r="11" ht="12.75" customHeight="1">
      <c r="G11" s="7" t="s">
        <v>20</v>
      </c>
      <c r="H11" s="26">
        <v>0.143</v>
      </c>
      <c r="J11" s="20">
        <v>0.254</v>
      </c>
      <c r="R11" s="10"/>
    </row>
    <row r="12" ht="12.75" customHeight="1">
      <c r="G12" s="7" t="s">
        <v>21</v>
      </c>
      <c r="H12" s="26">
        <v>0.155</v>
      </c>
      <c r="J12" s="20">
        <v>0.271</v>
      </c>
      <c r="R12" s="10"/>
    </row>
    <row r="13" ht="12.75" customHeight="1">
      <c r="G13" s="7" t="s">
        <v>22</v>
      </c>
      <c r="H13" s="20">
        <v>0.169</v>
      </c>
      <c r="J13" s="20">
        <v>0.283</v>
      </c>
      <c r="R13" s="10"/>
    </row>
    <row r="14" ht="12.75" customHeight="1">
      <c r="G14" s="7" t="s">
        <v>23</v>
      </c>
      <c r="H14" s="20">
        <v>0.184</v>
      </c>
      <c r="J14" s="20">
        <v>0.294</v>
      </c>
      <c r="R14" s="10"/>
    </row>
    <row r="15" ht="12.75" customHeight="1">
      <c r="G15" s="7" t="s">
        <v>24</v>
      </c>
      <c r="H15" s="26">
        <v>0.184</v>
      </c>
      <c r="I15" t="s">
        <v>6</v>
      </c>
      <c r="J15" s="20">
        <v>0.294</v>
      </c>
      <c r="K15" t="s">
        <v>6</v>
      </c>
      <c r="R15" s="10"/>
    </row>
    <row r="16" ht="12.75" customHeight="1">
      <c r="G16" s="17" t="s">
        <v>25</v>
      </c>
      <c r="H16" s="18">
        <f>H15</f>
        <v>0.184</v>
      </c>
      <c r="I16" s="19"/>
      <c r="J16" s="18">
        <f>J15</f>
        <v>0.294</v>
      </c>
      <c r="K16" s="18"/>
      <c r="M16" s="20"/>
      <c r="R16" s="10"/>
    </row>
    <row r="17" ht="13.5" customHeight="1">
      <c r="A17" s="4" t="s">
        <v>26</v>
      </c>
      <c r="D17" s="21">
        <v>0.07</v>
      </c>
      <c r="G17" s="17" t="s">
        <v>68</v>
      </c>
      <c r="H17" s="18">
        <f>H15</f>
        <v>0.184</v>
      </c>
      <c r="I17" s="19"/>
      <c r="J17" s="17">
        <v>0.294</v>
      </c>
      <c r="K17" s="18"/>
      <c r="M17" s="20"/>
      <c r="R17" s="10"/>
    </row>
    <row r="18" ht="13.5" customHeight="1">
      <c r="A18" s="4" t="s">
        <v>28</v>
      </c>
      <c r="D18" s="25">
        <v>0.03</v>
      </c>
      <c r="G18" s="168" t="s">
        <v>29</v>
      </c>
      <c r="H18" s="153"/>
      <c r="I18" s="155"/>
      <c r="J18" s="7"/>
      <c r="K18" s="26"/>
      <c r="M18" s="20"/>
      <c r="R18" s="10"/>
    </row>
    <row r="19">
      <c r="D19" s="32"/>
      <c r="G19" s="32"/>
      <c r="J19" s="7"/>
      <c r="L19" s="35" t="s">
        <v>30</v>
      </c>
    </row>
    <row r="20" ht="12.75" customHeight="1">
      <c r="A20" s="33"/>
      <c r="B20" s="34"/>
      <c r="C20" s="36" t="s">
        <v>31</v>
      </c>
      <c r="D20" s="36" t="s">
        <v>33</v>
      </c>
      <c r="E20" s="37" t="s">
        <v>35</v>
      </c>
      <c r="F20" s="45" t="s">
        <v>41</v>
      </c>
      <c r="G20" s="47" t="s">
        <v>42</v>
      </c>
      <c r="H20" s="40" t="s">
        <v>38</v>
      </c>
      <c r="I20" s="41" t="s">
        <v>39</v>
      </c>
      <c r="J20" s="42"/>
      <c r="L20" s="43" t="s">
        <v>33</v>
      </c>
      <c r="M20" s="44" t="s">
        <v>40</v>
      </c>
      <c r="O20" s="46"/>
    </row>
    <row r="21" ht="12.75" customHeight="1">
      <c r="A21" s="48"/>
      <c r="B21" s="7" t="s">
        <v>2</v>
      </c>
      <c r="C21" s="49" t="s">
        <v>43</v>
      </c>
      <c r="D21" s="7" t="s">
        <v>44</v>
      </c>
      <c r="E21" s="52"/>
      <c r="F21" s="53" t="s">
        <v>46</v>
      </c>
      <c r="G21" s="54" t="s">
        <v>46</v>
      </c>
      <c r="H21" s="56" t="s">
        <v>47</v>
      </c>
      <c r="I21" s="58" t="s">
        <v>37</v>
      </c>
      <c r="J21" s="59" t="s">
        <v>33</v>
      </c>
      <c r="L21" s="60"/>
      <c r="M21" s="61" t="s">
        <v>48</v>
      </c>
      <c r="O21" s="7"/>
      <c r="W21" s="20"/>
    </row>
    <row r="22" ht="13.5" customHeight="1">
      <c r="A22" s="62"/>
      <c r="B22" s="63" t="s">
        <v>5</v>
      </c>
      <c r="C22" s="65">
        <f t="shared" ref="C22:C31" si="1">H4</f>
        <v>0.054</v>
      </c>
      <c r="D22" s="66">
        <v>13.0</v>
      </c>
      <c r="E22" s="174">
        <v>0.0025</v>
      </c>
      <c r="F22" s="68">
        <f t="shared" ref="F22:F32" si="2">I22+$D$17</f>
        <v>0.097</v>
      </c>
      <c r="G22" s="70">
        <f t="shared" ref="G22:G39" si="3">I22+$D$18</f>
        <v>0.057</v>
      </c>
      <c r="H22" s="71">
        <f t="shared" ref="H22:H39" si="4">I22+0.003</f>
        <v>0.03</v>
      </c>
      <c r="I22" s="72">
        <f t="shared" ref="I22:I39" si="5">C22/2</f>
        <v>0.027</v>
      </c>
      <c r="J22" s="73" t="s">
        <v>49</v>
      </c>
      <c r="L22" s="74" t="s">
        <v>49</v>
      </c>
      <c r="M22" s="177">
        <v>0.065</v>
      </c>
      <c r="O22" s="76"/>
      <c r="W22" s="20"/>
    </row>
    <row r="23" ht="13.5" customHeight="1">
      <c r="A23" s="77" t="s">
        <v>50</v>
      </c>
      <c r="B23" s="7" t="s">
        <v>9</v>
      </c>
      <c r="C23" s="76">
        <f t="shared" si="1"/>
        <v>0.059</v>
      </c>
      <c r="D23" s="79">
        <v>12.0</v>
      </c>
      <c r="E23" s="93">
        <v>0.008</v>
      </c>
      <c r="F23" s="81">
        <f t="shared" si="2"/>
        <v>0.0995</v>
      </c>
      <c r="G23" s="82">
        <f t="shared" si="3"/>
        <v>0.0595</v>
      </c>
      <c r="H23" s="83">
        <f t="shared" si="4"/>
        <v>0.0325</v>
      </c>
      <c r="I23" s="85">
        <f t="shared" si="5"/>
        <v>0.0295</v>
      </c>
      <c r="J23" s="86" t="s">
        <v>51</v>
      </c>
      <c r="L23" s="87" t="s">
        <v>51</v>
      </c>
      <c r="M23" s="177">
        <v>0.0625</v>
      </c>
      <c r="O23" s="76"/>
      <c r="U23" s="88"/>
      <c r="W23" s="4"/>
    </row>
    <row r="24" ht="13.5" customHeight="1">
      <c r="A24" s="62"/>
      <c r="B24" s="63" t="s">
        <v>13</v>
      </c>
      <c r="C24" s="65">
        <f t="shared" si="1"/>
        <v>0.075</v>
      </c>
      <c r="D24" s="66">
        <v>11.0</v>
      </c>
      <c r="E24" s="92">
        <v>0.0055</v>
      </c>
      <c r="F24" s="68">
        <f t="shared" si="2"/>
        <v>0.1075</v>
      </c>
      <c r="G24" s="70">
        <f t="shared" si="3"/>
        <v>0.0675</v>
      </c>
      <c r="H24" s="71">
        <f t="shared" si="4"/>
        <v>0.0405</v>
      </c>
      <c r="I24" s="72">
        <f t="shared" si="5"/>
        <v>0.0375</v>
      </c>
      <c r="J24" s="73" t="s">
        <v>52</v>
      </c>
      <c r="L24" s="74" t="s">
        <v>52</v>
      </c>
      <c r="M24" s="177">
        <v>0.0545</v>
      </c>
      <c r="O24" s="76"/>
      <c r="U24" s="91"/>
      <c r="W24" s="4"/>
    </row>
    <row r="25" ht="13.5" customHeight="1">
      <c r="A25" s="48"/>
      <c r="B25" s="7" t="s">
        <v>16</v>
      </c>
      <c r="C25" s="76">
        <f t="shared" si="1"/>
        <v>0.086</v>
      </c>
      <c r="D25" s="79">
        <v>10.0</v>
      </c>
      <c r="E25" s="93">
        <v>0.0085</v>
      </c>
      <c r="F25" s="81">
        <f t="shared" si="2"/>
        <v>0.113</v>
      </c>
      <c r="G25" s="82">
        <f t="shared" si="3"/>
        <v>0.073</v>
      </c>
      <c r="H25" s="83">
        <f t="shared" si="4"/>
        <v>0.046</v>
      </c>
      <c r="I25" s="85">
        <f t="shared" si="5"/>
        <v>0.043</v>
      </c>
      <c r="J25" s="86" t="s">
        <v>53</v>
      </c>
      <c r="L25" s="87" t="s">
        <v>53</v>
      </c>
      <c r="M25" s="177">
        <v>0.049</v>
      </c>
      <c r="O25" s="76"/>
      <c r="U25" s="91"/>
      <c r="W25" s="20"/>
    </row>
    <row r="26" ht="13.5" customHeight="1">
      <c r="A26" s="62"/>
      <c r="B26" s="63" t="s">
        <v>17</v>
      </c>
      <c r="C26" s="65">
        <f t="shared" si="1"/>
        <v>0.103</v>
      </c>
      <c r="D26" s="66">
        <v>9.0</v>
      </c>
      <c r="E26" s="92">
        <v>0.008</v>
      </c>
      <c r="F26" s="68">
        <f t="shared" si="2"/>
        <v>0.1215</v>
      </c>
      <c r="G26" s="70">
        <f t="shared" si="3"/>
        <v>0.0815</v>
      </c>
      <c r="H26" s="71">
        <f t="shared" si="4"/>
        <v>0.0545</v>
      </c>
      <c r="I26" s="72">
        <f t="shared" si="5"/>
        <v>0.0515</v>
      </c>
      <c r="J26" s="73" t="s">
        <v>54</v>
      </c>
      <c r="L26" s="74" t="s">
        <v>54</v>
      </c>
      <c r="M26" s="177">
        <v>0.0405</v>
      </c>
      <c r="O26" s="76"/>
      <c r="U26" s="88"/>
    </row>
    <row r="27" ht="13.5" customHeight="1">
      <c r="A27" s="48"/>
      <c r="B27" s="7" t="s">
        <v>18</v>
      </c>
      <c r="C27" s="76">
        <f t="shared" si="1"/>
        <v>0.119</v>
      </c>
      <c r="D27" s="97">
        <v>8.0</v>
      </c>
      <c r="E27" s="98">
        <v>0.0065</v>
      </c>
      <c r="F27" s="99">
        <f t="shared" si="2"/>
        <v>0.1295</v>
      </c>
      <c r="G27" s="100">
        <f t="shared" si="3"/>
        <v>0.0895</v>
      </c>
      <c r="H27" s="103">
        <f t="shared" si="4"/>
        <v>0.0625</v>
      </c>
      <c r="I27" s="104">
        <f t="shared" si="5"/>
        <v>0.0595</v>
      </c>
      <c r="J27" s="105" t="s">
        <v>55</v>
      </c>
      <c r="L27" s="87" t="s">
        <v>55</v>
      </c>
      <c r="M27" s="177">
        <v>0.0325</v>
      </c>
      <c r="O27" s="76"/>
      <c r="U27" s="91"/>
    </row>
    <row r="28" ht="13.5" customHeight="1">
      <c r="A28" s="62"/>
      <c r="B28" s="63" t="s">
        <v>19</v>
      </c>
      <c r="C28" s="65">
        <f t="shared" si="1"/>
        <v>0.132</v>
      </c>
      <c r="D28" s="66">
        <v>7.0</v>
      </c>
      <c r="E28" s="92">
        <v>0.0055</v>
      </c>
      <c r="F28" s="68">
        <f t="shared" si="2"/>
        <v>0.136</v>
      </c>
      <c r="G28" s="70">
        <f t="shared" si="3"/>
        <v>0.096</v>
      </c>
      <c r="H28" s="71">
        <f t="shared" si="4"/>
        <v>0.069</v>
      </c>
      <c r="I28" s="72">
        <f t="shared" si="5"/>
        <v>0.066</v>
      </c>
      <c r="J28" s="73" t="s">
        <v>56</v>
      </c>
      <c r="L28" s="74" t="s">
        <v>56</v>
      </c>
      <c r="M28" s="177">
        <v>0.026</v>
      </c>
      <c r="O28" s="76"/>
      <c r="U28" s="91"/>
    </row>
    <row r="29" ht="13.5" customHeight="1">
      <c r="A29" s="48"/>
      <c r="B29" s="7" t="s">
        <v>20</v>
      </c>
      <c r="C29" s="76">
        <f t="shared" si="1"/>
        <v>0.143</v>
      </c>
      <c r="D29" s="79">
        <v>6.0</v>
      </c>
      <c r="E29" s="93">
        <v>0.006</v>
      </c>
      <c r="F29" s="81">
        <f t="shared" si="2"/>
        <v>0.1415</v>
      </c>
      <c r="G29" s="82">
        <f t="shared" si="3"/>
        <v>0.1015</v>
      </c>
      <c r="H29" s="83">
        <f t="shared" si="4"/>
        <v>0.0745</v>
      </c>
      <c r="I29" s="85">
        <f t="shared" si="5"/>
        <v>0.0715</v>
      </c>
      <c r="J29" s="86" t="s">
        <v>57</v>
      </c>
      <c r="L29" s="87" t="s">
        <v>57</v>
      </c>
      <c r="M29" s="177">
        <v>0.0205</v>
      </c>
      <c r="O29" s="76"/>
      <c r="U29" s="88"/>
    </row>
    <row r="30" ht="13.5" customHeight="1">
      <c r="A30" s="62"/>
      <c r="B30" s="63" t="s">
        <v>21</v>
      </c>
      <c r="C30" s="65">
        <f t="shared" si="1"/>
        <v>0.155</v>
      </c>
      <c r="D30" s="66">
        <v>5.0</v>
      </c>
      <c r="E30" s="92">
        <v>0.007</v>
      </c>
      <c r="F30" s="68">
        <f t="shared" si="2"/>
        <v>0.1475</v>
      </c>
      <c r="G30" s="70">
        <f t="shared" si="3"/>
        <v>0.1075</v>
      </c>
      <c r="H30" s="71">
        <f t="shared" si="4"/>
        <v>0.0805</v>
      </c>
      <c r="I30" s="72">
        <f t="shared" si="5"/>
        <v>0.0775</v>
      </c>
      <c r="J30" s="73" t="s">
        <v>58</v>
      </c>
      <c r="L30" s="74" t="s">
        <v>58</v>
      </c>
      <c r="M30" s="177">
        <v>0.0145</v>
      </c>
      <c r="O30" s="76"/>
      <c r="U30" s="91"/>
    </row>
    <row r="31" ht="13.5" customHeight="1">
      <c r="A31" s="94"/>
      <c r="B31" s="7" t="s">
        <v>22</v>
      </c>
      <c r="C31" s="76">
        <f t="shared" si="1"/>
        <v>0.169</v>
      </c>
      <c r="D31" s="79">
        <v>4.0</v>
      </c>
      <c r="E31" s="93">
        <v>0.0075</v>
      </c>
      <c r="F31" s="81">
        <f t="shared" si="2"/>
        <v>0.1545</v>
      </c>
      <c r="G31" s="82">
        <f t="shared" si="3"/>
        <v>0.1145</v>
      </c>
      <c r="H31" s="83">
        <f t="shared" si="4"/>
        <v>0.0875</v>
      </c>
      <c r="I31" s="85">
        <f t="shared" si="5"/>
        <v>0.0845</v>
      </c>
      <c r="J31" s="86" t="s">
        <v>59</v>
      </c>
      <c r="L31" s="87" t="s">
        <v>59</v>
      </c>
      <c r="M31" s="177">
        <v>0.0075</v>
      </c>
      <c r="N31" s="95"/>
      <c r="O31" s="76"/>
    </row>
    <row r="32" ht="13.5" customHeight="1">
      <c r="A32" s="96"/>
      <c r="B32" s="63" t="s">
        <v>60</v>
      </c>
      <c r="C32" s="65">
        <f>MROUND(((C36-C31)/4)+C31,0.001)</f>
        <v>0.173</v>
      </c>
      <c r="D32" s="66"/>
      <c r="E32" s="90" t="s">
        <v>61</v>
      </c>
      <c r="F32" s="68">
        <f t="shared" si="2"/>
        <v>0.1565</v>
      </c>
      <c r="G32" s="70">
        <f t="shared" si="3"/>
        <v>0.1165</v>
      </c>
      <c r="H32" s="71">
        <f t="shared" si="4"/>
        <v>0.0895</v>
      </c>
      <c r="I32" s="72">
        <f t="shared" si="5"/>
        <v>0.0865</v>
      </c>
      <c r="J32" s="101"/>
      <c r="L32" s="102"/>
      <c r="M32" s="75"/>
      <c r="O32" s="76"/>
      <c r="U32" s="91"/>
    </row>
    <row r="33" ht="13.5" customHeight="1">
      <c r="A33" s="77"/>
      <c r="B33" s="7" t="s">
        <v>62</v>
      </c>
      <c r="C33" s="78">
        <v>0.176</v>
      </c>
      <c r="D33" s="79"/>
      <c r="E33" s="80" t="s">
        <v>61</v>
      </c>
      <c r="F33" s="81">
        <f t="shared" ref="F33:F35" si="6">I33+0.07</f>
        <v>0.158</v>
      </c>
      <c r="G33" s="82">
        <f t="shared" si="3"/>
        <v>0.118</v>
      </c>
      <c r="H33" s="83">
        <f t="shared" si="4"/>
        <v>0.091</v>
      </c>
      <c r="I33" s="85">
        <f t="shared" si="5"/>
        <v>0.088</v>
      </c>
      <c r="J33" s="106"/>
      <c r="L33" s="94"/>
      <c r="M33" s="75"/>
      <c r="O33" s="107"/>
      <c r="U33" s="88"/>
    </row>
    <row r="34" ht="13.5" customHeight="1">
      <c r="A34" s="181" t="s">
        <v>90</v>
      </c>
      <c r="B34" s="63" t="s">
        <v>63</v>
      </c>
      <c r="C34" s="65">
        <f>MROUND(((C36-C31)/4)+C33,0.001)</f>
        <v>0.18</v>
      </c>
      <c r="D34" s="66"/>
      <c r="E34" s="90" t="s">
        <v>61</v>
      </c>
      <c r="F34" s="68">
        <f t="shared" si="6"/>
        <v>0.16</v>
      </c>
      <c r="G34" s="70">
        <f t="shared" si="3"/>
        <v>0.12</v>
      </c>
      <c r="H34" s="71">
        <f t="shared" si="4"/>
        <v>0.093</v>
      </c>
      <c r="I34" s="72">
        <f t="shared" si="5"/>
        <v>0.09</v>
      </c>
      <c r="J34" s="101"/>
      <c r="L34" s="102"/>
      <c r="M34" s="75"/>
      <c r="O34" s="76"/>
      <c r="U34" s="7"/>
    </row>
    <row r="35" ht="13.5" customHeight="1">
      <c r="A35" s="94"/>
      <c r="B35" s="7" t="s">
        <v>64</v>
      </c>
      <c r="C35" s="78">
        <v>0.182</v>
      </c>
      <c r="D35" s="79"/>
      <c r="E35" s="80" t="s">
        <v>61</v>
      </c>
      <c r="F35" s="81">
        <f t="shared" si="6"/>
        <v>0.161</v>
      </c>
      <c r="G35" s="82">
        <f t="shared" si="3"/>
        <v>0.121</v>
      </c>
      <c r="H35" s="83">
        <f t="shared" si="4"/>
        <v>0.094</v>
      </c>
      <c r="I35" s="85">
        <f t="shared" si="5"/>
        <v>0.091</v>
      </c>
      <c r="J35" s="106"/>
      <c r="L35" s="94"/>
      <c r="M35" s="75"/>
      <c r="O35" s="76"/>
    </row>
    <row r="36" ht="13.5" customHeight="1">
      <c r="A36" s="96"/>
      <c r="B36" s="63" t="s">
        <v>23</v>
      </c>
      <c r="C36" s="65">
        <f t="shared" ref="C36:C39" si="7">H14</f>
        <v>0.184</v>
      </c>
      <c r="D36" s="66">
        <v>3.0</v>
      </c>
      <c r="E36" s="90">
        <f t="shared" ref="E36:E38" si="8">(I37-I36)+E37</f>
        <v>0</v>
      </c>
      <c r="F36" s="68">
        <f t="shared" ref="F36:F37" si="9">I36+$D$17</f>
        <v>0.162</v>
      </c>
      <c r="G36" s="70">
        <f t="shared" si="3"/>
        <v>0.122</v>
      </c>
      <c r="H36" s="71">
        <f t="shared" si="4"/>
        <v>0.095</v>
      </c>
      <c r="I36" s="72">
        <f t="shared" si="5"/>
        <v>0.092</v>
      </c>
      <c r="J36" s="73" t="s">
        <v>65</v>
      </c>
      <c r="L36" s="74" t="s">
        <v>65</v>
      </c>
      <c r="M36" s="177">
        <v>0.0</v>
      </c>
      <c r="N36" s="95"/>
      <c r="O36" s="76"/>
    </row>
    <row r="37" ht="13.5" customHeight="1">
      <c r="A37" s="94"/>
      <c r="B37" s="7" t="s">
        <v>24</v>
      </c>
      <c r="C37" s="76">
        <f t="shared" si="7"/>
        <v>0.184</v>
      </c>
      <c r="D37" s="79">
        <v>2.0</v>
      </c>
      <c r="E37" s="80">
        <f t="shared" si="8"/>
        <v>0</v>
      </c>
      <c r="F37" s="81">
        <f t="shared" si="9"/>
        <v>0.162</v>
      </c>
      <c r="G37" s="82">
        <f t="shared" si="3"/>
        <v>0.122</v>
      </c>
      <c r="H37" s="83">
        <f t="shared" si="4"/>
        <v>0.095</v>
      </c>
      <c r="I37" s="85">
        <f t="shared" si="5"/>
        <v>0.092</v>
      </c>
      <c r="J37" s="86" t="s">
        <v>66</v>
      </c>
      <c r="L37" s="87" t="s">
        <v>66</v>
      </c>
      <c r="M37" s="177">
        <v>0.0</v>
      </c>
      <c r="O37" s="76"/>
    </row>
    <row r="38" ht="13.5" customHeight="1">
      <c r="A38" s="62"/>
      <c r="B38" s="108" t="s">
        <v>25</v>
      </c>
      <c r="C38" s="109">
        <f t="shared" si="7"/>
        <v>0.184</v>
      </c>
      <c r="D38" s="66">
        <v>1.0</v>
      </c>
      <c r="E38" s="90">
        <f t="shared" si="8"/>
        <v>0</v>
      </c>
      <c r="F38" s="68">
        <f>F39</f>
        <v>0.162</v>
      </c>
      <c r="G38" s="70">
        <f t="shared" si="3"/>
        <v>0.122</v>
      </c>
      <c r="H38" s="71">
        <f t="shared" si="4"/>
        <v>0.095</v>
      </c>
      <c r="I38" s="72">
        <f t="shared" si="5"/>
        <v>0.092</v>
      </c>
      <c r="J38" s="73" t="s">
        <v>67</v>
      </c>
      <c r="L38" s="74" t="s">
        <v>67</v>
      </c>
      <c r="M38" s="177">
        <v>0.0</v>
      </c>
      <c r="O38" s="76"/>
    </row>
    <row r="39" ht="13.5" customHeight="1">
      <c r="A39" s="112"/>
      <c r="B39" s="113" t="s">
        <v>68</v>
      </c>
      <c r="C39" s="114">
        <f t="shared" si="7"/>
        <v>0.184</v>
      </c>
      <c r="D39" s="115">
        <v>0.0</v>
      </c>
      <c r="E39" s="116">
        <v>0.0</v>
      </c>
      <c r="F39" s="117">
        <f>F37</f>
        <v>0.162</v>
      </c>
      <c r="G39" s="119">
        <f t="shared" si="3"/>
        <v>0.122</v>
      </c>
      <c r="H39" s="121">
        <f t="shared" si="4"/>
        <v>0.095</v>
      </c>
      <c r="I39" s="122">
        <f t="shared" si="5"/>
        <v>0.092</v>
      </c>
      <c r="J39" s="123" t="s">
        <v>70</v>
      </c>
      <c r="L39" s="124" t="s">
        <v>70</v>
      </c>
      <c r="M39" s="185">
        <v>0.0</v>
      </c>
      <c r="O39" s="76"/>
    </row>
    <row r="40" ht="12.75" customHeight="1">
      <c r="B40" s="7"/>
      <c r="C40" s="76"/>
      <c r="D40" s="76"/>
      <c r="E40" s="76"/>
      <c r="F40" s="76"/>
      <c r="G40" s="76"/>
      <c r="H40" s="76"/>
      <c r="I40" s="76"/>
      <c r="J40" s="91"/>
      <c r="K40" s="49"/>
      <c r="L40" s="7"/>
      <c r="M40" s="126"/>
      <c r="N40" s="126"/>
      <c r="O40" s="126"/>
      <c r="P40" s="126"/>
      <c r="Q40" s="126"/>
      <c r="R40" s="126"/>
      <c r="S40" s="126"/>
      <c r="T40" s="91"/>
    </row>
    <row r="41" ht="12.75" customHeight="1">
      <c r="A41" s="49"/>
      <c r="B41" s="7"/>
      <c r="C41" s="76"/>
      <c r="D41" s="76"/>
      <c r="E41" s="76"/>
      <c r="F41" s="76"/>
      <c r="G41" s="76"/>
      <c r="H41" s="76"/>
      <c r="I41" s="76"/>
      <c r="J41" s="91"/>
      <c r="K41" s="49"/>
      <c r="L41" s="7"/>
      <c r="M41" s="126"/>
      <c r="N41" s="126"/>
      <c r="O41" s="126"/>
      <c r="P41" s="126"/>
      <c r="Q41" s="126"/>
      <c r="R41" s="126"/>
      <c r="S41" s="126"/>
      <c r="T41" s="91"/>
    </row>
    <row r="42" ht="12.75" customHeight="1">
      <c r="A42" s="49"/>
      <c r="B42" s="7"/>
      <c r="C42" s="76"/>
      <c r="D42" s="76"/>
      <c r="E42" s="76"/>
      <c r="F42" s="76"/>
      <c r="G42" s="76"/>
      <c r="H42" s="76"/>
      <c r="I42" s="76"/>
      <c r="J42" s="91"/>
      <c r="K42" s="49"/>
      <c r="L42" s="7"/>
      <c r="M42" s="126"/>
      <c r="N42" s="126"/>
      <c r="O42" s="126"/>
      <c r="P42" s="126"/>
      <c r="Q42" s="126"/>
      <c r="R42" s="126"/>
      <c r="S42" s="126"/>
      <c r="T42" s="91"/>
    </row>
    <row r="43" ht="12.75" customHeight="1">
      <c r="B43" s="7"/>
      <c r="C43" s="76"/>
      <c r="D43" s="76"/>
      <c r="E43" s="76"/>
      <c r="F43" s="76"/>
      <c r="G43" s="76"/>
      <c r="H43" s="76"/>
      <c r="I43" s="76"/>
      <c r="J43" s="91"/>
      <c r="K43" s="49"/>
      <c r="L43" s="7"/>
      <c r="M43" s="126"/>
      <c r="N43" s="126"/>
      <c r="O43" s="126"/>
      <c r="P43" s="126"/>
      <c r="Q43" s="126"/>
      <c r="R43" s="126"/>
      <c r="S43" s="126"/>
      <c r="T43" s="91"/>
    </row>
    <row r="44" ht="12.75" customHeight="1">
      <c r="B44" s="7"/>
      <c r="C44" s="76"/>
      <c r="D44" s="76"/>
      <c r="E44" s="76"/>
      <c r="F44" s="76"/>
      <c r="G44" s="151" t="s">
        <v>71</v>
      </c>
      <c r="H44" s="153"/>
      <c r="I44" s="155"/>
      <c r="J44" s="91"/>
      <c r="K44" s="49"/>
      <c r="L44" s="7"/>
      <c r="M44" s="126"/>
      <c r="N44" s="126"/>
      <c r="O44" s="126"/>
      <c r="P44" s="126"/>
      <c r="Q44" s="126"/>
      <c r="R44" s="126"/>
      <c r="S44" s="126"/>
      <c r="T44" s="91"/>
    </row>
    <row r="45">
      <c r="D45" s="127"/>
      <c r="E45" s="127"/>
      <c r="F45" s="127"/>
      <c r="G45" s="127"/>
      <c r="H45" s="128"/>
      <c r="L45" s="35" t="s">
        <v>30</v>
      </c>
    </row>
    <row r="46" ht="12.75" customHeight="1">
      <c r="A46" s="129"/>
      <c r="B46" s="34"/>
      <c r="C46" s="36" t="s">
        <v>31</v>
      </c>
      <c r="D46" s="36" t="s">
        <v>33</v>
      </c>
      <c r="E46" s="37" t="s">
        <v>35</v>
      </c>
      <c r="F46" s="45" t="s">
        <v>41</v>
      </c>
      <c r="G46" s="47" t="s">
        <v>42</v>
      </c>
      <c r="H46" s="40" t="s">
        <v>38</v>
      </c>
      <c r="I46" s="41" t="s">
        <v>39</v>
      </c>
      <c r="J46" s="130"/>
      <c r="L46" s="43" t="s">
        <v>33</v>
      </c>
      <c r="M46" s="44" t="s">
        <v>40</v>
      </c>
    </row>
    <row r="47" ht="12.75" customHeight="1">
      <c r="A47" s="131"/>
      <c r="B47" s="7" t="s">
        <v>3</v>
      </c>
      <c r="C47" s="49" t="s">
        <v>43</v>
      </c>
      <c r="D47" s="7" t="s">
        <v>44</v>
      </c>
      <c r="E47" s="52"/>
      <c r="F47" s="53" t="s">
        <v>46</v>
      </c>
      <c r="G47" s="54" t="s">
        <v>46</v>
      </c>
      <c r="H47" s="56" t="s">
        <v>47</v>
      </c>
      <c r="I47" s="58" t="s">
        <v>37</v>
      </c>
      <c r="J47" s="59" t="s">
        <v>33</v>
      </c>
      <c r="L47" s="60"/>
      <c r="M47" s="61" t="s">
        <v>48</v>
      </c>
    </row>
    <row r="48" ht="12.75" customHeight="1">
      <c r="A48" s="62"/>
      <c r="B48" s="63" t="s">
        <v>5</v>
      </c>
      <c r="C48" s="135">
        <f t="shared" ref="C48:C59" si="10">J4</f>
        <v>0.164</v>
      </c>
      <c r="D48" s="133">
        <v>13.0</v>
      </c>
      <c r="E48" s="141">
        <v>0.007</v>
      </c>
      <c r="F48" s="136">
        <f t="shared" ref="F48:F59" si="11">I48+$D$17</f>
        <v>0.152</v>
      </c>
      <c r="G48" s="70">
        <f t="shared" ref="G48:G59" si="12">I48+$D$18</f>
        <v>0.112</v>
      </c>
      <c r="H48" s="71">
        <f t="shared" ref="H48:H61" si="13">I48+0.003</f>
        <v>0.085</v>
      </c>
      <c r="I48" s="72">
        <f t="shared" ref="I48:I61" si="14">C48/2</f>
        <v>0.082</v>
      </c>
      <c r="J48" s="73" t="s">
        <v>49</v>
      </c>
      <c r="L48" s="74" t="s">
        <v>49</v>
      </c>
      <c r="M48" s="61">
        <v>0.065</v>
      </c>
    </row>
    <row r="49" ht="12.75" customHeight="1">
      <c r="A49" s="77" t="s">
        <v>69</v>
      </c>
      <c r="B49" s="7" t="s">
        <v>9</v>
      </c>
      <c r="C49" s="20">
        <f t="shared" si="10"/>
        <v>0.178</v>
      </c>
      <c r="D49" s="79">
        <v>12.0</v>
      </c>
      <c r="E49" s="141">
        <v>0.008</v>
      </c>
      <c r="F49" s="139">
        <f t="shared" si="11"/>
        <v>0.159</v>
      </c>
      <c r="G49" s="82">
        <f t="shared" si="12"/>
        <v>0.119</v>
      </c>
      <c r="H49" s="83">
        <f t="shared" si="13"/>
        <v>0.092</v>
      </c>
      <c r="I49" s="85">
        <f t="shared" si="14"/>
        <v>0.089</v>
      </c>
      <c r="J49" s="86" t="s">
        <v>51</v>
      </c>
      <c r="L49" s="87" t="s">
        <v>51</v>
      </c>
      <c r="M49" s="61">
        <v>0.058</v>
      </c>
    </row>
    <row r="50" ht="12.75" customHeight="1">
      <c r="A50" s="62"/>
      <c r="B50" s="63" t="s">
        <v>13</v>
      </c>
      <c r="C50" s="135">
        <f t="shared" si="10"/>
        <v>0.194</v>
      </c>
      <c r="D50" s="133">
        <v>11.0</v>
      </c>
      <c r="E50" s="141">
        <v>0.004</v>
      </c>
      <c r="F50" s="136">
        <f t="shared" si="11"/>
        <v>0.167</v>
      </c>
      <c r="G50" s="70">
        <f t="shared" si="12"/>
        <v>0.127</v>
      </c>
      <c r="H50" s="71">
        <f t="shared" si="13"/>
        <v>0.1</v>
      </c>
      <c r="I50" s="72">
        <f t="shared" si="14"/>
        <v>0.097</v>
      </c>
      <c r="J50" s="73" t="s">
        <v>52</v>
      </c>
      <c r="L50" s="74" t="s">
        <v>52</v>
      </c>
      <c r="M50" s="61">
        <v>0.05</v>
      </c>
    </row>
    <row r="51" ht="12.75" customHeight="1">
      <c r="A51" s="48"/>
      <c r="B51" s="7" t="s">
        <v>16</v>
      </c>
      <c r="C51" s="20">
        <f t="shared" si="10"/>
        <v>0.202</v>
      </c>
      <c r="D51" s="79">
        <v>10.0</v>
      </c>
      <c r="E51" s="141">
        <v>0.0065</v>
      </c>
      <c r="F51" s="139">
        <f t="shared" si="11"/>
        <v>0.171</v>
      </c>
      <c r="G51" s="82">
        <f t="shared" si="12"/>
        <v>0.131</v>
      </c>
      <c r="H51" s="83">
        <f t="shared" si="13"/>
        <v>0.104</v>
      </c>
      <c r="I51" s="85">
        <f t="shared" si="14"/>
        <v>0.101</v>
      </c>
      <c r="J51" s="86" t="s">
        <v>53</v>
      </c>
      <c r="L51" s="87" t="s">
        <v>53</v>
      </c>
      <c r="M51" s="61">
        <v>0.046</v>
      </c>
    </row>
    <row r="52" ht="12.75" customHeight="1">
      <c r="A52" s="62"/>
      <c r="B52" s="63" t="s">
        <v>17</v>
      </c>
      <c r="C52" s="135">
        <f t="shared" si="10"/>
        <v>0.215</v>
      </c>
      <c r="D52" s="133">
        <v>9.0</v>
      </c>
      <c r="E52" s="141">
        <v>0.0055</v>
      </c>
      <c r="F52" s="136">
        <f t="shared" si="11"/>
        <v>0.1775</v>
      </c>
      <c r="G52" s="70">
        <f t="shared" si="12"/>
        <v>0.1375</v>
      </c>
      <c r="H52" s="71">
        <f t="shared" si="13"/>
        <v>0.1105</v>
      </c>
      <c r="I52" s="72">
        <f t="shared" si="14"/>
        <v>0.1075</v>
      </c>
      <c r="J52" s="73" t="s">
        <v>54</v>
      </c>
      <c r="L52" s="74" t="s">
        <v>54</v>
      </c>
      <c r="M52" s="61">
        <v>0.0395</v>
      </c>
    </row>
    <row r="53" ht="12.75" customHeight="1">
      <c r="A53" s="48"/>
      <c r="B53" s="7" t="s">
        <v>18</v>
      </c>
      <c r="C53" s="20">
        <f t="shared" si="10"/>
        <v>0.226</v>
      </c>
      <c r="D53" s="97">
        <v>8.0</v>
      </c>
      <c r="E53" s="164">
        <v>0.0085</v>
      </c>
      <c r="F53" s="165">
        <f t="shared" si="11"/>
        <v>0.183</v>
      </c>
      <c r="G53" s="100">
        <f t="shared" si="12"/>
        <v>0.143</v>
      </c>
      <c r="H53" s="103">
        <f t="shared" si="13"/>
        <v>0.116</v>
      </c>
      <c r="I53" s="104">
        <f t="shared" si="14"/>
        <v>0.113</v>
      </c>
      <c r="J53" s="105" t="s">
        <v>55</v>
      </c>
      <c r="L53" s="87" t="s">
        <v>55</v>
      </c>
      <c r="M53" s="61">
        <v>0.034</v>
      </c>
    </row>
    <row r="54" ht="12.75" customHeight="1">
      <c r="A54" s="62"/>
      <c r="B54" s="63" t="s">
        <v>19</v>
      </c>
      <c r="C54" s="135">
        <f t="shared" si="10"/>
        <v>0.243</v>
      </c>
      <c r="D54" s="133">
        <v>7.0</v>
      </c>
      <c r="E54" s="141">
        <v>0.0055</v>
      </c>
      <c r="F54" s="136">
        <f t="shared" si="11"/>
        <v>0.1915</v>
      </c>
      <c r="G54" s="70">
        <f t="shared" si="12"/>
        <v>0.1515</v>
      </c>
      <c r="H54" s="71">
        <f t="shared" si="13"/>
        <v>0.1245</v>
      </c>
      <c r="I54" s="72">
        <f t="shared" si="14"/>
        <v>0.1215</v>
      </c>
      <c r="J54" s="73" t="s">
        <v>56</v>
      </c>
      <c r="L54" s="74" t="s">
        <v>56</v>
      </c>
      <c r="M54" s="61">
        <v>0.0255</v>
      </c>
    </row>
    <row r="55" ht="12.75" customHeight="1">
      <c r="A55" s="48"/>
      <c r="B55" s="7" t="s">
        <v>20</v>
      </c>
      <c r="C55" s="20">
        <f t="shared" si="10"/>
        <v>0.254</v>
      </c>
      <c r="D55" s="79">
        <v>6.0</v>
      </c>
      <c r="E55" s="141">
        <v>0.0085</v>
      </c>
      <c r="F55" s="139">
        <f t="shared" si="11"/>
        <v>0.197</v>
      </c>
      <c r="G55" s="82">
        <f t="shared" si="12"/>
        <v>0.157</v>
      </c>
      <c r="H55" s="83">
        <f t="shared" si="13"/>
        <v>0.13</v>
      </c>
      <c r="I55" s="85">
        <f t="shared" si="14"/>
        <v>0.127</v>
      </c>
      <c r="J55" s="86" t="s">
        <v>57</v>
      </c>
      <c r="L55" s="87" t="s">
        <v>57</v>
      </c>
      <c r="M55" s="61">
        <v>0.02</v>
      </c>
    </row>
    <row r="56" ht="12.75" customHeight="1">
      <c r="A56" s="62"/>
      <c r="B56" s="63" t="s">
        <v>21</v>
      </c>
      <c r="C56" s="135">
        <f t="shared" si="10"/>
        <v>0.271</v>
      </c>
      <c r="D56" s="133">
        <v>5.0</v>
      </c>
      <c r="E56" s="141">
        <v>0.006</v>
      </c>
      <c r="F56" s="136">
        <f t="shared" si="11"/>
        <v>0.2055</v>
      </c>
      <c r="G56" s="70">
        <f t="shared" si="12"/>
        <v>0.1655</v>
      </c>
      <c r="H56" s="71">
        <f t="shared" si="13"/>
        <v>0.1385</v>
      </c>
      <c r="I56" s="72">
        <f t="shared" si="14"/>
        <v>0.1355</v>
      </c>
      <c r="J56" s="73" t="s">
        <v>58</v>
      </c>
      <c r="L56" s="74" t="s">
        <v>58</v>
      </c>
      <c r="M56" s="61">
        <v>0.0115</v>
      </c>
    </row>
    <row r="57" ht="12.75" customHeight="1">
      <c r="A57" s="48"/>
      <c r="B57" s="7" t="s">
        <v>22</v>
      </c>
      <c r="C57" s="20">
        <f t="shared" si="10"/>
        <v>0.283</v>
      </c>
      <c r="D57" s="79">
        <v>4.0</v>
      </c>
      <c r="E57" s="141">
        <v>0.0055</v>
      </c>
      <c r="F57" s="139">
        <f t="shared" si="11"/>
        <v>0.2115</v>
      </c>
      <c r="G57" s="82">
        <f t="shared" si="12"/>
        <v>0.1715</v>
      </c>
      <c r="H57" s="83">
        <f t="shared" si="13"/>
        <v>0.1445</v>
      </c>
      <c r="I57" s="85">
        <f t="shared" si="14"/>
        <v>0.1415</v>
      </c>
      <c r="J57" s="86" t="s">
        <v>59</v>
      </c>
      <c r="L57" s="87" t="s">
        <v>59</v>
      </c>
      <c r="M57" s="61">
        <v>0.0055</v>
      </c>
    </row>
    <row r="58" ht="12.75" customHeight="1">
      <c r="A58" s="62"/>
      <c r="B58" s="63" t="s">
        <v>23</v>
      </c>
      <c r="C58" s="135">
        <f t="shared" si="10"/>
        <v>0.294</v>
      </c>
      <c r="D58" s="133">
        <v>3.0</v>
      </c>
      <c r="E58" s="134">
        <f>(I59-I58)+E59</f>
        <v>0</v>
      </c>
      <c r="F58" s="136">
        <f t="shared" si="11"/>
        <v>0.217</v>
      </c>
      <c r="G58" s="70">
        <f t="shared" si="12"/>
        <v>0.177</v>
      </c>
      <c r="H58" s="71">
        <f t="shared" si="13"/>
        <v>0.15</v>
      </c>
      <c r="I58" s="72">
        <f t="shared" si="14"/>
        <v>0.147</v>
      </c>
      <c r="J58" s="73" t="s">
        <v>65</v>
      </c>
      <c r="L58" s="74" t="s">
        <v>65</v>
      </c>
      <c r="M58" s="61">
        <v>0.0</v>
      </c>
    </row>
    <row r="59" ht="12.75" customHeight="1">
      <c r="A59" s="48"/>
      <c r="B59" s="7" t="s">
        <v>24</v>
      </c>
      <c r="C59" s="20">
        <f t="shared" si="10"/>
        <v>0.294</v>
      </c>
      <c r="D59" s="79">
        <v>2.0</v>
      </c>
      <c r="E59" s="134">
        <v>0.0</v>
      </c>
      <c r="F59" s="139">
        <f t="shared" si="11"/>
        <v>0.217</v>
      </c>
      <c r="G59" s="82">
        <f t="shared" si="12"/>
        <v>0.177</v>
      </c>
      <c r="H59" s="83">
        <f t="shared" si="13"/>
        <v>0.15</v>
      </c>
      <c r="I59" s="85">
        <f t="shared" si="14"/>
        <v>0.147</v>
      </c>
      <c r="J59" s="86" t="s">
        <v>66</v>
      </c>
      <c r="L59" s="87" t="s">
        <v>66</v>
      </c>
      <c r="M59" s="61">
        <v>0.0</v>
      </c>
    </row>
    <row r="60" ht="12.75" customHeight="1">
      <c r="A60" s="62"/>
      <c r="B60" s="63"/>
      <c r="C60" s="154">
        <f>J15</f>
        <v>0.294</v>
      </c>
      <c r="D60" s="133">
        <v>1.0</v>
      </c>
      <c r="E60" s="134">
        <f>(I61-I60)+E61</f>
        <v>0</v>
      </c>
      <c r="F60" s="136">
        <f>F61</f>
        <v>0.217</v>
      </c>
      <c r="G60" s="70">
        <f t="shared" ref="G60:G61" si="15">G59</f>
        <v>0.177</v>
      </c>
      <c r="H60" s="71">
        <f t="shared" si="13"/>
        <v>0.15</v>
      </c>
      <c r="I60" s="72">
        <f t="shared" si="14"/>
        <v>0.147</v>
      </c>
      <c r="J60" s="73" t="s">
        <v>67</v>
      </c>
      <c r="L60" s="74" t="s">
        <v>67</v>
      </c>
      <c r="M60" s="61">
        <v>0.0</v>
      </c>
    </row>
    <row r="61" ht="13.5" customHeight="1">
      <c r="A61" s="112"/>
      <c r="B61" s="142"/>
      <c r="C61" s="143">
        <f>J15</f>
        <v>0.294</v>
      </c>
      <c r="D61" s="115">
        <v>0.0</v>
      </c>
      <c r="E61" s="144">
        <v>0.0</v>
      </c>
      <c r="F61" s="145">
        <f>F59</f>
        <v>0.217</v>
      </c>
      <c r="G61" s="119">
        <f t="shared" si="15"/>
        <v>0.177</v>
      </c>
      <c r="H61" s="121">
        <f t="shared" si="13"/>
        <v>0.15</v>
      </c>
      <c r="I61" s="146">
        <f t="shared" si="14"/>
        <v>0.147</v>
      </c>
      <c r="J61" s="123" t="s">
        <v>70</v>
      </c>
      <c r="L61" s="124" t="s">
        <v>70</v>
      </c>
      <c r="M61" s="184">
        <v>0.0</v>
      </c>
    </row>
    <row r="62" ht="12.75" customHeight="1">
      <c r="A62" s="95"/>
      <c r="B62" s="88"/>
      <c r="C62" s="126"/>
      <c r="D62" s="148"/>
      <c r="E62" s="149"/>
      <c r="F62" s="79"/>
      <c r="G62" s="150"/>
      <c r="H62" s="95"/>
      <c r="I62" s="152"/>
      <c r="J62" s="91"/>
    </row>
    <row r="63" ht="12.75" customHeight="1">
      <c r="A63" s="95"/>
      <c r="B63" s="88"/>
      <c r="C63" s="126"/>
      <c r="D63" s="148"/>
      <c r="E63" s="149"/>
      <c r="F63" s="79"/>
      <c r="G63" s="150"/>
      <c r="H63" s="126"/>
      <c r="I63" s="152"/>
      <c r="J63" s="91"/>
    </row>
    <row r="64" ht="12.75" customHeight="1">
      <c r="A64" s="49"/>
      <c r="B64" s="7"/>
      <c r="C64" s="126"/>
      <c r="D64" s="148"/>
      <c r="E64" s="149"/>
      <c r="F64" s="79"/>
      <c r="G64" s="150"/>
      <c r="H64" s="126"/>
      <c r="I64" s="152"/>
      <c r="J64" s="91"/>
    </row>
    <row r="65" ht="12.75" customHeight="1">
      <c r="A65" s="49"/>
      <c r="B65" s="7"/>
      <c r="C65" s="126"/>
      <c r="D65" s="148"/>
      <c r="E65" s="149"/>
      <c r="F65" s="79"/>
      <c r="G65" s="150"/>
      <c r="H65" s="126"/>
      <c r="I65" s="152"/>
      <c r="J65" s="91"/>
      <c r="M65" s="49"/>
      <c r="T65" s="156"/>
    </row>
    <row r="66" ht="12.75" customHeight="1">
      <c r="A66" s="5"/>
      <c r="B66" s="156"/>
      <c r="D66" s="49"/>
      <c r="E66" s="49"/>
      <c r="F66" s="49"/>
      <c r="G66" s="49"/>
      <c r="J66" s="157"/>
      <c r="M66" s="49"/>
      <c r="T66" s="157"/>
    </row>
    <row r="67" ht="12.75" customHeight="1">
      <c r="A67" s="5"/>
      <c r="B67" s="158"/>
      <c r="M67" s="49"/>
      <c r="T67" s="157"/>
    </row>
    <row r="68" ht="12.75" customHeight="1">
      <c r="A68" s="5"/>
      <c r="B68" s="159"/>
      <c r="D68" s="49"/>
      <c r="E68" s="49"/>
      <c r="F68" s="49"/>
      <c r="G68" s="49"/>
      <c r="K68" s="156"/>
      <c r="M68" s="49"/>
      <c r="T68" s="157"/>
    </row>
    <row r="69" ht="12.75" customHeight="1">
      <c r="A69" s="5"/>
      <c r="B69" s="157"/>
      <c r="D69" s="49"/>
      <c r="E69" s="49"/>
      <c r="F69" s="49"/>
      <c r="G69" s="49"/>
      <c r="K69" s="156"/>
    </row>
    <row r="70" ht="12.75" customHeight="1">
      <c r="A70" s="5"/>
      <c r="B70" s="160"/>
      <c r="M70" s="91"/>
      <c r="N70" s="5"/>
      <c r="O70" s="5"/>
      <c r="P70" s="5"/>
      <c r="Q70" s="5"/>
      <c r="R70" s="91"/>
      <c r="S70" s="46"/>
    </row>
    <row r="71" ht="12.75" customHeight="1">
      <c r="A71" s="91"/>
      <c r="B71" s="7"/>
      <c r="C71" s="46"/>
      <c r="D71" s="46"/>
      <c r="E71" s="46"/>
      <c r="F71" s="46"/>
      <c r="G71" s="46"/>
      <c r="H71" s="91"/>
      <c r="I71" s="91"/>
      <c r="J71" s="91"/>
      <c r="K71" s="91"/>
      <c r="M71" s="91"/>
      <c r="N71" s="49"/>
      <c r="O71" s="49"/>
      <c r="P71" s="49"/>
      <c r="Q71" s="49"/>
      <c r="R71" s="46"/>
      <c r="T71" s="46"/>
      <c r="U71" s="7"/>
    </row>
    <row r="72" ht="12.75" customHeight="1">
      <c r="A72" s="7"/>
      <c r="B72" s="128"/>
      <c r="D72" s="7"/>
      <c r="E72" s="7"/>
      <c r="F72" s="7"/>
      <c r="G72" s="7"/>
      <c r="H72" s="7"/>
      <c r="I72" s="7"/>
      <c r="J72" s="7"/>
      <c r="K72" s="7"/>
      <c r="M72" s="7"/>
      <c r="R72" s="7"/>
      <c r="S72" s="7"/>
      <c r="T72" s="7"/>
      <c r="U72" s="7"/>
    </row>
    <row r="73" ht="12.75" customHeight="1">
      <c r="A73" s="7"/>
      <c r="B73" s="10"/>
      <c r="C73" s="76"/>
      <c r="D73" s="162"/>
      <c r="E73" s="162"/>
      <c r="F73" s="162"/>
      <c r="G73" s="162"/>
      <c r="H73" s="162"/>
      <c r="I73" s="162"/>
      <c r="J73" s="91"/>
      <c r="K73" s="91"/>
      <c r="M73" s="7"/>
      <c r="N73" s="10"/>
      <c r="O73" s="10"/>
      <c r="P73" s="10"/>
      <c r="Q73" s="10"/>
      <c r="R73" s="162"/>
      <c r="S73" s="162"/>
      <c r="T73" s="162"/>
      <c r="U73" s="91"/>
    </row>
    <row r="74" ht="12.75" customHeight="1">
      <c r="A74" s="7"/>
      <c r="B74" s="10"/>
      <c r="C74" s="76"/>
      <c r="D74" s="162"/>
      <c r="E74" s="162"/>
      <c r="F74" s="162"/>
      <c r="G74" s="162"/>
      <c r="H74" s="162"/>
      <c r="I74" s="162"/>
      <c r="J74" s="91"/>
      <c r="K74" s="88"/>
      <c r="M74" s="7"/>
      <c r="N74" s="10"/>
      <c r="O74" s="10"/>
      <c r="P74" s="10"/>
      <c r="Q74" s="10"/>
      <c r="R74" s="162"/>
      <c r="S74" s="162"/>
      <c r="T74" s="162"/>
      <c r="U74" s="91"/>
      <c r="V74" s="88"/>
    </row>
    <row r="75" ht="12.75" customHeight="1">
      <c r="A75" s="7"/>
      <c r="B75" s="10"/>
      <c r="C75" s="76"/>
      <c r="D75" s="162"/>
      <c r="E75" s="162"/>
      <c r="F75" s="162"/>
      <c r="G75" s="162"/>
      <c r="H75" s="162"/>
      <c r="I75" s="162"/>
      <c r="J75" s="91"/>
      <c r="K75" s="91"/>
      <c r="M75" s="7"/>
      <c r="N75" s="10"/>
      <c r="O75" s="10"/>
      <c r="P75" s="10"/>
      <c r="Q75" s="10"/>
      <c r="R75" s="162"/>
      <c r="S75" s="162"/>
      <c r="T75" s="162"/>
      <c r="U75" s="91"/>
      <c r="V75" s="91"/>
    </row>
    <row r="76" ht="12.75" customHeight="1">
      <c r="A76" s="7"/>
      <c r="B76" s="10"/>
      <c r="C76" s="76"/>
      <c r="D76" s="162"/>
      <c r="E76" s="162"/>
      <c r="F76" s="162"/>
      <c r="G76" s="162"/>
      <c r="H76" s="162"/>
      <c r="I76" s="162"/>
      <c r="J76" s="91"/>
      <c r="K76" s="91"/>
      <c r="M76" s="7"/>
      <c r="N76" s="10"/>
      <c r="O76" s="10"/>
      <c r="P76" s="10"/>
      <c r="Q76" s="10"/>
      <c r="R76" s="162"/>
      <c r="S76" s="162"/>
      <c r="T76" s="162"/>
      <c r="U76" s="91"/>
      <c r="V76" s="91"/>
    </row>
    <row r="77" ht="12.75" customHeight="1">
      <c r="A77" s="7"/>
      <c r="B77" s="10"/>
      <c r="C77" s="76"/>
      <c r="D77" s="162"/>
      <c r="E77" s="162"/>
      <c r="F77" s="162"/>
      <c r="G77" s="162"/>
      <c r="H77" s="162"/>
      <c r="I77" s="162"/>
      <c r="J77" s="91"/>
      <c r="K77" s="88"/>
      <c r="M77" s="7"/>
      <c r="N77" s="10"/>
      <c r="O77" s="10"/>
      <c r="P77" s="10"/>
      <c r="Q77" s="10"/>
      <c r="R77" s="162"/>
      <c r="S77" s="162"/>
      <c r="T77" s="162"/>
      <c r="U77" s="91"/>
      <c r="V77" s="88"/>
    </row>
    <row r="78" ht="12.75" customHeight="1">
      <c r="A78" s="7"/>
      <c r="B78" s="10"/>
      <c r="C78" s="76"/>
      <c r="D78" s="162"/>
      <c r="E78" s="162"/>
      <c r="F78" s="162"/>
      <c r="G78" s="162"/>
      <c r="H78" s="162"/>
      <c r="I78" s="162"/>
      <c r="J78" s="91"/>
      <c r="K78" s="91"/>
      <c r="M78" s="7"/>
      <c r="N78" s="10"/>
      <c r="O78" s="10"/>
      <c r="P78" s="10"/>
      <c r="Q78" s="10"/>
      <c r="R78" s="162"/>
      <c r="S78" s="162"/>
      <c r="T78" s="162"/>
      <c r="U78" s="91"/>
      <c r="V78" s="91"/>
    </row>
    <row r="79" ht="12.75" customHeight="1">
      <c r="A79" s="7"/>
      <c r="B79" s="10"/>
      <c r="C79" s="76"/>
      <c r="D79" s="162"/>
      <c r="E79" s="162"/>
      <c r="F79" s="162"/>
      <c r="G79" s="162"/>
      <c r="H79" s="162"/>
      <c r="I79" s="162"/>
      <c r="J79" s="91"/>
      <c r="K79" s="91"/>
      <c r="M79" s="7"/>
      <c r="N79" s="10"/>
      <c r="O79" s="10"/>
      <c r="P79" s="10"/>
      <c r="Q79" s="10"/>
      <c r="R79" s="162"/>
      <c r="S79" s="162"/>
      <c r="T79" s="162"/>
      <c r="U79" s="91"/>
      <c r="V79" s="91"/>
    </row>
    <row r="80" ht="12.75" customHeight="1">
      <c r="A80" s="7"/>
      <c r="B80" s="10"/>
      <c r="C80" s="76"/>
      <c r="D80" s="162"/>
      <c r="E80" s="162"/>
      <c r="F80" s="162"/>
      <c r="G80" s="162"/>
      <c r="H80" s="162"/>
      <c r="I80" s="162"/>
      <c r="J80" s="91"/>
      <c r="K80" s="88"/>
      <c r="M80" s="7"/>
      <c r="N80" s="10"/>
      <c r="O80" s="10"/>
      <c r="P80" s="10"/>
      <c r="Q80" s="10"/>
      <c r="R80" s="162"/>
      <c r="S80" s="162"/>
      <c r="T80" s="162"/>
      <c r="U80" s="91"/>
      <c r="V80" s="88"/>
    </row>
    <row r="81" ht="12.75" customHeight="1">
      <c r="A81" s="7"/>
      <c r="B81" s="10"/>
      <c r="C81" s="76"/>
      <c r="D81" s="162"/>
      <c r="E81" s="162"/>
      <c r="F81" s="162"/>
      <c r="G81" s="162"/>
      <c r="H81" s="162"/>
      <c r="I81" s="162"/>
      <c r="J81" s="91"/>
      <c r="K81" s="91"/>
      <c r="M81" s="7"/>
      <c r="N81" s="10"/>
      <c r="O81" s="10"/>
      <c r="P81" s="10"/>
      <c r="Q81" s="10"/>
      <c r="R81" s="162"/>
      <c r="S81" s="162"/>
      <c r="T81" s="162"/>
      <c r="U81" s="91"/>
      <c r="V81" s="91"/>
    </row>
    <row r="82" ht="12.75" customHeight="1">
      <c r="A82" s="7"/>
      <c r="B82" s="10"/>
      <c r="C82" s="10"/>
      <c r="D82" s="162"/>
      <c r="E82" s="162"/>
      <c r="F82" s="162"/>
      <c r="G82" s="162"/>
      <c r="H82" s="162"/>
      <c r="I82" s="162"/>
      <c r="J82" s="91"/>
      <c r="M82" s="7"/>
      <c r="N82" s="10"/>
      <c r="O82" s="10"/>
      <c r="P82" s="10"/>
      <c r="Q82" s="10"/>
      <c r="R82" s="162"/>
      <c r="S82" s="162"/>
      <c r="T82" s="162"/>
      <c r="U82" s="91"/>
    </row>
    <row r="83" ht="12.75" customHeight="1">
      <c r="A83" s="7"/>
      <c r="B83" s="10"/>
      <c r="C83" s="10"/>
      <c r="D83" s="162"/>
      <c r="E83" s="162"/>
      <c r="F83" s="162"/>
      <c r="G83" s="162"/>
      <c r="H83" s="162"/>
      <c r="I83" s="162"/>
      <c r="J83" s="91"/>
      <c r="K83" s="88"/>
      <c r="M83" s="7"/>
      <c r="N83" s="10"/>
      <c r="O83" s="10"/>
      <c r="P83" s="10"/>
      <c r="Q83" s="10"/>
      <c r="R83" s="162"/>
      <c r="S83" s="162"/>
      <c r="T83" s="162"/>
      <c r="U83" s="91"/>
      <c r="V83" s="91"/>
    </row>
    <row r="84" ht="12.75" customHeight="1">
      <c r="A84" s="7"/>
      <c r="C84" s="10"/>
      <c r="D84" s="162"/>
      <c r="E84" s="162"/>
      <c r="F84" s="162"/>
      <c r="G84" s="162"/>
      <c r="K84" s="91"/>
      <c r="M84" s="7"/>
      <c r="N84" s="10"/>
      <c r="O84" s="10"/>
      <c r="P84" s="10"/>
      <c r="Q84" s="10"/>
      <c r="R84" s="162"/>
      <c r="S84" s="162"/>
      <c r="T84" s="162"/>
      <c r="U84" s="91"/>
      <c r="V84" s="88"/>
    </row>
    <row r="85" ht="12.75" customHeight="1">
      <c r="A85" s="7"/>
      <c r="C85" s="10"/>
      <c r="D85" s="162"/>
      <c r="E85" s="162"/>
      <c r="F85" s="162"/>
      <c r="G85" s="162"/>
      <c r="J85" s="7"/>
      <c r="K85" s="7"/>
      <c r="M85" s="7"/>
      <c r="N85" s="76"/>
      <c r="O85" s="76"/>
      <c r="P85" s="76"/>
      <c r="Q85" s="76"/>
      <c r="R85" s="162"/>
      <c r="S85" s="162"/>
      <c r="T85" s="162"/>
      <c r="U85" s="7"/>
      <c r="V85" s="7"/>
    </row>
    <row r="86" ht="12.75" customHeight="1">
      <c r="A86" s="7"/>
      <c r="C86" s="10"/>
      <c r="D86" s="162"/>
      <c r="E86" s="162"/>
      <c r="F86" s="162"/>
      <c r="G86" s="162"/>
      <c r="J86" s="7"/>
      <c r="K86" s="7"/>
    </row>
    <row r="87" ht="12.75" customHeight="1">
      <c r="A87" s="7"/>
      <c r="C87" s="10"/>
      <c r="D87" s="162"/>
      <c r="E87" s="162"/>
      <c r="F87" s="162"/>
      <c r="G87" s="162"/>
    </row>
    <row r="88" ht="12.75" customHeight="1">
      <c r="A88" s="7"/>
      <c r="B88" s="10"/>
      <c r="C88" s="76"/>
      <c r="D88" s="162"/>
      <c r="E88" s="162"/>
      <c r="F88" s="162"/>
      <c r="G88" s="162"/>
      <c r="H88" s="162"/>
      <c r="I88" s="162"/>
    </row>
    <row r="89" ht="12.75" customHeight="1">
      <c r="A89" s="7"/>
      <c r="B89" s="128"/>
      <c r="C89" s="76"/>
      <c r="D89" s="162"/>
      <c r="E89" s="162"/>
      <c r="F89" s="162"/>
      <c r="G89" s="162"/>
      <c r="H89" s="162"/>
      <c r="I89" s="162"/>
    </row>
    <row r="90" ht="12.75" customHeight="1">
      <c r="A90" s="7"/>
      <c r="B90" s="128"/>
      <c r="C90" s="76"/>
      <c r="D90" s="162"/>
      <c r="E90" s="162"/>
      <c r="F90" s="162"/>
      <c r="G90" s="162"/>
      <c r="H90" s="162"/>
      <c r="I90" s="162"/>
    </row>
    <row r="91" ht="12.75" customHeight="1">
      <c r="A91" s="7"/>
      <c r="B91" s="128"/>
      <c r="C91" s="76"/>
      <c r="D91" s="162"/>
      <c r="E91" s="162"/>
      <c r="F91" s="162"/>
      <c r="G91" s="162"/>
      <c r="H91" s="162"/>
      <c r="I91" s="162"/>
    </row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4">
    <mergeCell ref="A17:C17"/>
    <mergeCell ref="A18:C18"/>
    <mergeCell ref="G18:I18"/>
    <mergeCell ref="G44:I44"/>
  </mergeCells>
  <printOptions/>
  <pageMargins bottom="0.75" footer="0.0" header="0.0" left="0.7" right="0.7" top="0.75"/>
  <pageSetup scale="93" orientation="landscape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8.5"/>
    <col customWidth="1" min="3" max="3" width="10.25"/>
    <col customWidth="1" min="4" max="4" width="7.0"/>
    <col customWidth="1" min="5" max="5" width="7.5"/>
    <col customWidth="1" min="6" max="6" width="8.88"/>
    <col customWidth="1" min="7" max="7" width="7.25"/>
    <col customWidth="1" min="8" max="8" width="8.88"/>
    <col customWidth="1" min="9" max="9" width="7.0"/>
    <col customWidth="1" min="10" max="10" width="9.38"/>
    <col customWidth="1" min="11" max="11" width="8.13"/>
    <col customWidth="1" min="12" max="12" width="8.38"/>
    <col customWidth="1" min="13" max="13" width="11.13"/>
    <col customWidth="1" min="14" max="14" width="7.0"/>
    <col customWidth="1" min="15" max="15" width="19.5"/>
    <col customWidth="1" min="16" max="26" width="7.0"/>
  </cols>
  <sheetData>
    <row r="1">
      <c r="A1" s="1"/>
      <c r="G1" s="2" t="s">
        <v>0</v>
      </c>
      <c r="I1" s="3"/>
    </row>
    <row r="2" ht="12.75" customHeight="1">
      <c r="A2" t="s">
        <v>1</v>
      </c>
    </row>
    <row r="3" ht="12.75" customHeight="1">
      <c r="G3" s="4" t="s">
        <v>2</v>
      </c>
      <c r="H3" s="4"/>
      <c r="I3" s="4"/>
      <c r="J3" s="4" t="s">
        <v>3</v>
      </c>
    </row>
    <row r="4" ht="12.75" customHeight="1">
      <c r="A4" s="5" t="s">
        <v>4</v>
      </c>
      <c r="B4" s="6" t="s">
        <v>73</v>
      </c>
      <c r="G4" s="7" t="s">
        <v>5</v>
      </c>
      <c r="H4" s="8">
        <v>0.06</v>
      </c>
      <c r="I4" t="s">
        <v>6</v>
      </c>
      <c r="J4" s="9">
        <v>0.18</v>
      </c>
      <c r="K4" t="s">
        <v>6</v>
      </c>
      <c r="R4" s="10"/>
    </row>
    <row r="5" ht="12.75" customHeight="1">
      <c r="A5" s="5" t="s">
        <v>8</v>
      </c>
      <c r="B5" s="6" t="s">
        <v>75</v>
      </c>
      <c r="G5" s="7" t="s">
        <v>9</v>
      </c>
      <c r="H5" s="11">
        <v>0.066</v>
      </c>
      <c r="J5" s="9">
        <v>0.191</v>
      </c>
      <c r="R5" s="10"/>
    </row>
    <row r="6" ht="12.75" customHeight="1">
      <c r="A6" s="5" t="s">
        <v>10</v>
      </c>
      <c r="B6" s="12" t="s">
        <v>77</v>
      </c>
      <c r="G6" s="7" t="s">
        <v>13</v>
      </c>
      <c r="H6" s="8">
        <v>0.077</v>
      </c>
      <c r="J6" s="9">
        <v>0.202</v>
      </c>
      <c r="M6" s="167"/>
      <c r="R6" s="10"/>
    </row>
    <row r="7" ht="12.75" customHeight="1">
      <c r="A7" s="5" t="s">
        <v>14</v>
      </c>
      <c r="B7" s="13">
        <v>0.189</v>
      </c>
      <c r="G7" s="7" t="s">
        <v>16</v>
      </c>
      <c r="H7" s="8">
        <v>0.09</v>
      </c>
      <c r="J7" s="9">
        <v>0.219</v>
      </c>
      <c r="R7" s="10"/>
    </row>
    <row r="8" ht="12.75" customHeight="1">
      <c r="G8" s="7" t="s">
        <v>17</v>
      </c>
      <c r="H8" s="8">
        <v>0.108</v>
      </c>
      <c r="J8" s="9">
        <v>0.231</v>
      </c>
      <c r="R8" s="10"/>
    </row>
    <row r="9" ht="12.75" customHeight="1">
      <c r="G9" s="7" t="s">
        <v>18</v>
      </c>
      <c r="H9" s="8">
        <v>0.132</v>
      </c>
      <c r="J9" s="9">
        <v>0.246</v>
      </c>
      <c r="R9" s="10"/>
    </row>
    <row r="10" ht="12.75" customHeight="1">
      <c r="G10" s="7" t="s">
        <v>19</v>
      </c>
      <c r="H10" s="8">
        <v>0.142</v>
      </c>
      <c r="J10" s="9">
        <v>0.263</v>
      </c>
      <c r="R10" s="10"/>
    </row>
    <row r="11" ht="12.75" customHeight="1">
      <c r="G11" s="7" t="s">
        <v>20</v>
      </c>
      <c r="H11" s="8">
        <v>0.156</v>
      </c>
      <c r="J11" s="9">
        <v>0.277</v>
      </c>
      <c r="R11" s="10"/>
    </row>
    <row r="12" ht="12.75" customHeight="1">
      <c r="G12" s="7" t="s">
        <v>21</v>
      </c>
      <c r="H12" s="8">
        <v>0.166</v>
      </c>
      <c r="J12" s="9">
        <v>0.291</v>
      </c>
      <c r="R12" s="10"/>
    </row>
    <row r="13" ht="12.75" customHeight="1">
      <c r="G13" s="7" t="s">
        <v>22</v>
      </c>
      <c r="H13" s="8">
        <v>0.184</v>
      </c>
      <c r="J13" s="9">
        <v>0.303</v>
      </c>
      <c r="R13" s="10"/>
    </row>
    <row r="14" ht="12.75" customHeight="1">
      <c r="G14" s="7" t="s">
        <v>23</v>
      </c>
      <c r="H14" s="8">
        <v>0.197</v>
      </c>
      <c r="J14" s="9">
        <v>0.324</v>
      </c>
      <c r="R14" s="10"/>
    </row>
    <row r="15" ht="12.75" customHeight="1">
      <c r="G15" s="7" t="s">
        <v>24</v>
      </c>
      <c r="H15" s="8">
        <v>0.21</v>
      </c>
      <c r="I15" t="s">
        <v>6</v>
      </c>
      <c r="J15" s="9">
        <v>0.335</v>
      </c>
      <c r="K15" t="s">
        <v>6</v>
      </c>
      <c r="R15" s="10"/>
    </row>
    <row r="16" ht="12.75" customHeight="1">
      <c r="G16" s="17" t="s">
        <v>25</v>
      </c>
      <c r="H16" s="18">
        <f>H15</f>
        <v>0.21</v>
      </c>
      <c r="I16" s="19"/>
      <c r="J16" s="18">
        <f>J15</f>
        <v>0.335</v>
      </c>
      <c r="K16" s="18"/>
      <c r="M16" s="20"/>
      <c r="R16" s="10"/>
    </row>
    <row r="17" ht="13.5" customHeight="1">
      <c r="A17" s="4" t="s">
        <v>26</v>
      </c>
      <c r="D17" s="21">
        <v>0.07</v>
      </c>
      <c r="G17" s="17" t="s">
        <v>68</v>
      </c>
      <c r="H17" s="18">
        <f>H15</f>
        <v>0.21</v>
      </c>
      <c r="I17" s="19"/>
      <c r="J17" s="17">
        <v>0.294</v>
      </c>
      <c r="K17" s="18"/>
      <c r="M17" s="20"/>
      <c r="R17" s="10"/>
    </row>
    <row r="18" ht="13.5" customHeight="1">
      <c r="A18" s="4" t="s">
        <v>28</v>
      </c>
      <c r="D18" s="25">
        <v>0.03</v>
      </c>
      <c r="G18" s="168" t="s">
        <v>29</v>
      </c>
      <c r="H18" s="153"/>
      <c r="I18" s="155"/>
      <c r="J18" s="7"/>
      <c r="K18" s="26"/>
      <c r="M18" s="20"/>
      <c r="R18" s="10"/>
    </row>
    <row r="19">
      <c r="D19" s="32"/>
      <c r="G19" s="32"/>
      <c r="J19" s="7"/>
      <c r="L19" s="35" t="s">
        <v>30</v>
      </c>
    </row>
    <row r="20" ht="12.75" customHeight="1">
      <c r="A20" s="33"/>
      <c r="B20" s="34"/>
      <c r="C20" s="36" t="s">
        <v>31</v>
      </c>
      <c r="D20" s="36" t="s">
        <v>33</v>
      </c>
      <c r="E20" s="169" t="s">
        <v>35</v>
      </c>
      <c r="F20" s="45" t="s">
        <v>41</v>
      </c>
      <c r="G20" s="47" t="s">
        <v>42</v>
      </c>
      <c r="H20" s="40" t="s">
        <v>38</v>
      </c>
      <c r="I20" s="41" t="s">
        <v>39</v>
      </c>
      <c r="J20" s="42"/>
      <c r="L20" s="170" t="s">
        <v>33</v>
      </c>
      <c r="M20" s="44" t="s">
        <v>40</v>
      </c>
      <c r="O20" s="46"/>
    </row>
    <row r="21" ht="12.75" customHeight="1">
      <c r="A21" s="48"/>
      <c r="B21" s="7" t="s">
        <v>2</v>
      </c>
      <c r="C21" s="49" t="s">
        <v>43</v>
      </c>
      <c r="D21" s="7" t="s">
        <v>44</v>
      </c>
      <c r="E21" s="171"/>
      <c r="F21" s="53" t="s">
        <v>46</v>
      </c>
      <c r="G21" s="54" t="s">
        <v>46</v>
      </c>
      <c r="H21" s="56" t="s">
        <v>47</v>
      </c>
      <c r="I21" s="58" t="s">
        <v>37</v>
      </c>
      <c r="J21" s="59" t="s">
        <v>33</v>
      </c>
      <c r="L21" s="172"/>
      <c r="M21" s="61"/>
      <c r="O21" s="7"/>
      <c r="W21" s="20"/>
    </row>
    <row r="22" ht="13.5" customHeight="1">
      <c r="A22" s="62"/>
      <c r="B22" s="63" t="s">
        <v>5</v>
      </c>
      <c r="C22" s="65">
        <f t="shared" ref="C22:C31" si="1">H4</f>
        <v>0.06</v>
      </c>
      <c r="D22" s="66">
        <v>13.0</v>
      </c>
      <c r="E22" s="173">
        <v>0.003</v>
      </c>
      <c r="F22" s="68">
        <f t="shared" ref="F22:F32" si="2">I22+$D$17</f>
        <v>0.1</v>
      </c>
      <c r="G22" s="70">
        <f t="shared" ref="G22:G39" si="3">I22+$D$18</f>
        <v>0.06</v>
      </c>
      <c r="H22" s="71">
        <f t="shared" ref="H22:H39" si="4">I22+0.003</f>
        <v>0.033</v>
      </c>
      <c r="I22" s="72">
        <f t="shared" ref="I22:I39" si="5">C22/2</f>
        <v>0.03</v>
      </c>
      <c r="J22" s="73" t="s">
        <v>49</v>
      </c>
      <c r="L22" s="175" t="s">
        <v>79</v>
      </c>
      <c r="M22" s="61">
        <v>0.0685</v>
      </c>
      <c r="O22" s="76"/>
      <c r="W22" s="20"/>
    </row>
    <row r="23" ht="13.5" customHeight="1">
      <c r="A23" s="77" t="s">
        <v>50</v>
      </c>
      <c r="B23" s="7" t="s">
        <v>9</v>
      </c>
      <c r="C23" s="76">
        <f t="shared" si="1"/>
        <v>0.066</v>
      </c>
      <c r="D23" s="79">
        <v>12.0</v>
      </c>
      <c r="E23" s="176">
        <v>0.0055</v>
      </c>
      <c r="F23" s="81">
        <f t="shared" si="2"/>
        <v>0.103</v>
      </c>
      <c r="G23" s="82">
        <f t="shared" si="3"/>
        <v>0.063</v>
      </c>
      <c r="H23" s="83">
        <f t="shared" si="4"/>
        <v>0.036</v>
      </c>
      <c r="I23" s="85">
        <f t="shared" si="5"/>
        <v>0.033</v>
      </c>
      <c r="J23" s="86" t="s">
        <v>51</v>
      </c>
      <c r="L23" s="175" t="s">
        <v>81</v>
      </c>
      <c r="M23" s="61">
        <v>0.0655</v>
      </c>
      <c r="O23" s="76"/>
      <c r="U23" s="88"/>
      <c r="W23" s="4"/>
    </row>
    <row r="24" ht="13.5" customHeight="1">
      <c r="A24" s="62"/>
      <c r="B24" s="63" t="s">
        <v>13</v>
      </c>
      <c r="C24" s="65">
        <f t="shared" si="1"/>
        <v>0.077</v>
      </c>
      <c r="D24" s="66">
        <v>11.0</v>
      </c>
      <c r="E24" s="173">
        <v>0.0065</v>
      </c>
      <c r="F24" s="68">
        <f t="shared" si="2"/>
        <v>0.1085</v>
      </c>
      <c r="G24" s="70">
        <f t="shared" si="3"/>
        <v>0.0685</v>
      </c>
      <c r="H24" s="71">
        <f t="shared" si="4"/>
        <v>0.0415</v>
      </c>
      <c r="I24" s="72">
        <f t="shared" si="5"/>
        <v>0.0385</v>
      </c>
      <c r="J24" s="73" t="s">
        <v>52</v>
      </c>
      <c r="L24" s="175" t="s">
        <v>82</v>
      </c>
      <c r="M24" s="61">
        <v>0.06</v>
      </c>
      <c r="O24" s="76"/>
      <c r="U24" s="91"/>
      <c r="W24" s="4"/>
    </row>
    <row r="25" ht="13.5" customHeight="1">
      <c r="A25" s="48"/>
      <c r="B25" s="7" t="s">
        <v>16</v>
      </c>
      <c r="C25" s="76">
        <f t="shared" si="1"/>
        <v>0.09</v>
      </c>
      <c r="D25" s="79">
        <v>10.0</v>
      </c>
      <c r="E25" s="176">
        <v>0.009</v>
      </c>
      <c r="F25" s="81">
        <f t="shared" si="2"/>
        <v>0.115</v>
      </c>
      <c r="G25" s="82">
        <f t="shared" si="3"/>
        <v>0.075</v>
      </c>
      <c r="H25" s="83">
        <f t="shared" si="4"/>
        <v>0.048</v>
      </c>
      <c r="I25" s="85">
        <f t="shared" si="5"/>
        <v>0.045</v>
      </c>
      <c r="J25" s="86" t="s">
        <v>53</v>
      </c>
      <c r="L25" s="175" t="s">
        <v>83</v>
      </c>
      <c r="M25" s="61">
        <v>0.0535</v>
      </c>
      <c r="O25" s="76"/>
      <c r="U25" s="91"/>
      <c r="W25" s="20"/>
    </row>
    <row r="26" ht="13.5" customHeight="1">
      <c r="A26" s="62"/>
      <c r="B26" s="63" t="s">
        <v>17</v>
      </c>
      <c r="C26" s="65">
        <f t="shared" si="1"/>
        <v>0.108</v>
      </c>
      <c r="D26" s="66">
        <v>9.0</v>
      </c>
      <c r="E26" s="173">
        <v>0.012</v>
      </c>
      <c r="F26" s="68">
        <f t="shared" si="2"/>
        <v>0.124</v>
      </c>
      <c r="G26" s="70">
        <f t="shared" si="3"/>
        <v>0.084</v>
      </c>
      <c r="H26" s="71">
        <f t="shared" si="4"/>
        <v>0.057</v>
      </c>
      <c r="I26" s="72">
        <f t="shared" si="5"/>
        <v>0.054</v>
      </c>
      <c r="J26" s="73" t="s">
        <v>54</v>
      </c>
      <c r="L26" s="175" t="s">
        <v>84</v>
      </c>
      <c r="M26" s="61">
        <v>0.0445</v>
      </c>
      <c r="O26" s="76"/>
      <c r="U26" s="88"/>
    </row>
    <row r="27" ht="13.5" customHeight="1">
      <c r="A27" s="48"/>
      <c r="B27" s="7" t="s">
        <v>18</v>
      </c>
      <c r="C27" s="76">
        <f t="shared" si="1"/>
        <v>0.132</v>
      </c>
      <c r="D27" s="97">
        <v>8.0</v>
      </c>
      <c r="E27" s="178">
        <v>0.005</v>
      </c>
      <c r="F27" s="99">
        <f t="shared" si="2"/>
        <v>0.136</v>
      </c>
      <c r="G27" s="100">
        <f t="shared" si="3"/>
        <v>0.096</v>
      </c>
      <c r="H27" s="103">
        <f t="shared" si="4"/>
        <v>0.069</v>
      </c>
      <c r="I27" s="104">
        <f t="shared" si="5"/>
        <v>0.066</v>
      </c>
      <c r="J27" s="105" t="s">
        <v>55</v>
      </c>
      <c r="L27" s="175" t="s">
        <v>85</v>
      </c>
      <c r="M27" s="61">
        <v>0.0325</v>
      </c>
      <c r="O27" s="76"/>
      <c r="U27" s="91"/>
    </row>
    <row r="28" ht="13.5" customHeight="1">
      <c r="A28" s="62"/>
      <c r="B28" s="63" t="s">
        <v>19</v>
      </c>
      <c r="C28" s="65">
        <f t="shared" si="1"/>
        <v>0.142</v>
      </c>
      <c r="D28" s="66">
        <v>7.0</v>
      </c>
      <c r="E28" s="173">
        <v>0.007</v>
      </c>
      <c r="F28" s="68">
        <f t="shared" si="2"/>
        <v>0.141</v>
      </c>
      <c r="G28" s="70">
        <f t="shared" si="3"/>
        <v>0.101</v>
      </c>
      <c r="H28" s="71">
        <f t="shared" si="4"/>
        <v>0.074</v>
      </c>
      <c r="I28" s="72">
        <f t="shared" si="5"/>
        <v>0.071</v>
      </c>
      <c r="J28" s="73" t="s">
        <v>56</v>
      </c>
      <c r="L28" s="175" t="s">
        <v>86</v>
      </c>
      <c r="M28" s="61">
        <v>0.0275</v>
      </c>
      <c r="O28" s="76"/>
      <c r="U28" s="91"/>
    </row>
    <row r="29" ht="13.5" customHeight="1">
      <c r="A29" s="48"/>
      <c r="B29" s="7" t="s">
        <v>20</v>
      </c>
      <c r="C29" s="76">
        <f t="shared" si="1"/>
        <v>0.156</v>
      </c>
      <c r="D29" s="79">
        <v>6.0</v>
      </c>
      <c r="E29" s="176">
        <v>0.005</v>
      </c>
      <c r="F29" s="81">
        <f t="shared" si="2"/>
        <v>0.148</v>
      </c>
      <c r="G29" s="82">
        <f t="shared" si="3"/>
        <v>0.108</v>
      </c>
      <c r="H29" s="83">
        <f t="shared" si="4"/>
        <v>0.081</v>
      </c>
      <c r="I29" s="85">
        <f t="shared" si="5"/>
        <v>0.078</v>
      </c>
      <c r="J29" s="86" t="s">
        <v>57</v>
      </c>
      <c r="L29" s="175" t="s">
        <v>87</v>
      </c>
      <c r="M29" s="61">
        <v>0.0205</v>
      </c>
      <c r="O29" s="76"/>
      <c r="U29" s="88"/>
    </row>
    <row r="30" ht="13.5" customHeight="1">
      <c r="A30" s="62"/>
      <c r="B30" s="63" t="s">
        <v>21</v>
      </c>
      <c r="C30" s="65">
        <f t="shared" si="1"/>
        <v>0.166</v>
      </c>
      <c r="D30" s="66">
        <v>5.0</v>
      </c>
      <c r="E30" s="173">
        <v>0.009</v>
      </c>
      <c r="F30" s="68">
        <f t="shared" si="2"/>
        <v>0.153</v>
      </c>
      <c r="G30" s="70">
        <f t="shared" si="3"/>
        <v>0.113</v>
      </c>
      <c r="H30" s="71">
        <f t="shared" si="4"/>
        <v>0.086</v>
      </c>
      <c r="I30" s="72">
        <f t="shared" si="5"/>
        <v>0.083</v>
      </c>
      <c r="J30" s="73" t="s">
        <v>58</v>
      </c>
      <c r="L30" s="175" t="s">
        <v>88</v>
      </c>
      <c r="M30" s="61">
        <v>0.0155</v>
      </c>
      <c r="O30" s="76"/>
      <c r="U30" s="91"/>
    </row>
    <row r="31" ht="13.5" customHeight="1">
      <c r="A31" s="94"/>
      <c r="B31" s="7" t="s">
        <v>22</v>
      </c>
      <c r="C31" s="76">
        <f t="shared" si="1"/>
        <v>0.184</v>
      </c>
      <c r="D31" s="79">
        <v>4.0</v>
      </c>
      <c r="E31" s="176">
        <v>0.0065</v>
      </c>
      <c r="F31" s="81">
        <f t="shared" si="2"/>
        <v>0.162</v>
      </c>
      <c r="G31" s="82">
        <f t="shared" si="3"/>
        <v>0.122</v>
      </c>
      <c r="H31" s="83">
        <f t="shared" si="4"/>
        <v>0.095</v>
      </c>
      <c r="I31" s="85">
        <f t="shared" si="5"/>
        <v>0.092</v>
      </c>
      <c r="J31" s="86" t="s">
        <v>59</v>
      </c>
      <c r="L31" s="175" t="s">
        <v>89</v>
      </c>
      <c r="M31" s="61">
        <v>0.0065</v>
      </c>
      <c r="N31" s="95"/>
      <c r="O31" s="76"/>
    </row>
    <row r="32" ht="13.5" customHeight="1">
      <c r="A32" s="96"/>
      <c r="B32" s="63" t="s">
        <v>60</v>
      </c>
      <c r="C32" s="110">
        <v>0.186</v>
      </c>
      <c r="D32" s="66"/>
      <c r="E32" s="179" t="s">
        <v>61</v>
      </c>
      <c r="F32" s="68">
        <f t="shared" si="2"/>
        <v>0.163</v>
      </c>
      <c r="G32" s="70">
        <f t="shared" si="3"/>
        <v>0.123</v>
      </c>
      <c r="H32" s="71">
        <f t="shared" si="4"/>
        <v>0.096</v>
      </c>
      <c r="I32" s="72">
        <f t="shared" si="5"/>
        <v>0.093</v>
      </c>
      <c r="J32" s="101"/>
      <c r="L32" s="172"/>
      <c r="M32" s="61">
        <v>0.0</v>
      </c>
      <c r="O32" s="76"/>
      <c r="U32" s="91"/>
    </row>
    <row r="33" ht="13.5" customHeight="1">
      <c r="A33" s="77" t="s">
        <v>69</v>
      </c>
      <c r="B33" s="7" t="s">
        <v>62</v>
      </c>
      <c r="C33" s="78">
        <v>0.189</v>
      </c>
      <c r="D33" s="79"/>
      <c r="E33" s="180" t="s">
        <v>61</v>
      </c>
      <c r="F33" s="81">
        <f t="shared" ref="F33:F35" si="6">I33+0.07</f>
        <v>0.1645</v>
      </c>
      <c r="G33" s="82">
        <f t="shared" si="3"/>
        <v>0.1245</v>
      </c>
      <c r="H33" s="83">
        <f t="shared" si="4"/>
        <v>0.0975</v>
      </c>
      <c r="I33" s="85">
        <f t="shared" si="5"/>
        <v>0.0945</v>
      </c>
      <c r="J33" s="106"/>
      <c r="L33" s="172"/>
      <c r="M33" s="61">
        <v>0.0</v>
      </c>
      <c r="O33" s="107"/>
      <c r="U33" s="88"/>
    </row>
    <row r="34" ht="13.5" customHeight="1">
      <c r="A34" s="96"/>
      <c r="B34" s="63" t="s">
        <v>63</v>
      </c>
      <c r="C34" s="65">
        <f>MROUND(((C36-C31)/4)+C33,0.001)</f>
        <v>0.192</v>
      </c>
      <c r="D34" s="66"/>
      <c r="E34" s="179" t="s">
        <v>61</v>
      </c>
      <c r="F34" s="68">
        <f t="shared" si="6"/>
        <v>0.166</v>
      </c>
      <c r="G34" s="70">
        <f t="shared" si="3"/>
        <v>0.126</v>
      </c>
      <c r="H34" s="71">
        <f t="shared" si="4"/>
        <v>0.099</v>
      </c>
      <c r="I34" s="72">
        <f t="shared" si="5"/>
        <v>0.096</v>
      </c>
      <c r="J34" s="101"/>
      <c r="L34" s="172"/>
      <c r="M34" s="61">
        <v>0.0</v>
      </c>
      <c r="O34" s="76"/>
      <c r="U34" s="7"/>
    </row>
    <row r="35" ht="13.5" customHeight="1">
      <c r="A35" s="94"/>
      <c r="B35" s="7" t="s">
        <v>64</v>
      </c>
      <c r="C35" s="76">
        <f>MROUND(((C36-C31)/4)+C34,0.001)</f>
        <v>0.195</v>
      </c>
      <c r="D35" s="79"/>
      <c r="E35" s="180" t="s">
        <v>61</v>
      </c>
      <c r="F35" s="81">
        <f t="shared" si="6"/>
        <v>0.1675</v>
      </c>
      <c r="G35" s="82">
        <f t="shared" si="3"/>
        <v>0.1275</v>
      </c>
      <c r="H35" s="83">
        <f t="shared" si="4"/>
        <v>0.1005</v>
      </c>
      <c r="I35" s="85">
        <f t="shared" si="5"/>
        <v>0.0975</v>
      </c>
      <c r="J35" s="106"/>
      <c r="L35" s="172"/>
      <c r="M35" s="61">
        <v>0.0</v>
      </c>
      <c r="O35" s="76"/>
    </row>
    <row r="36" ht="13.5" customHeight="1">
      <c r="A36" s="96"/>
      <c r="B36" s="63" t="s">
        <v>23</v>
      </c>
      <c r="C36" s="65">
        <f t="shared" ref="C36:C39" si="7">H14</f>
        <v>0.197</v>
      </c>
      <c r="D36" s="66">
        <v>3.0</v>
      </c>
      <c r="E36" s="173">
        <v>0.0</v>
      </c>
      <c r="F36" s="68">
        <f t="shared" ref="F36:F37" si="8">I36+$D$17</f>
        <v>0.1685</v>
      </c>
      <c r="G36" s="70">
        <f t="shared" si="3"/>
        <v>0.1285</v>
      </c>
      <c r="H36" s="71">
        <f t="shared" si="4"/>
        <v>0.1015</v>
      </c>
      <c r="I36" s="72">
        <f t="shared" si="5"/>
        <v>0.0985</v>
      </c>
      <c r="J36" s="73" t="s">
        <v>65</v>
      </c>
      <c r="L36" s="175" t="s">
        <v>91</v>
      </c>
      <c r="M36" s="61">
        <v>0.0</v>
      </c>
      <c r="N36" s="95"/>
      <c r="O36" s="76"/>
    </row>
    <row r="37" ht="13.5" customHeight="1">
      <c r="A37" s="94"/>
      <c r="B37" s="7" t="s">
        <v>24</v>
      </c>
      <c r="C37" s="76">
        <f t="shared" si="7"/>
        <v>0.21</v>
      </c>
      <c r="D37" s="79">
        <v>2.0</v>
      </c>
      <c r="E37" s="180">
        <f t="shared" ref="E37:E38" si="9">(I38-I37)+E38</f>
        <v>0</v>
      </c>
      <c r="F37" s="81">
        <f t="shared" si="8"/>
        <v>0.175</v>
      </c>
      <c r="G37" s="82">
        <f t="shared" si="3"/>
        <v>0.135</v>
      </c>
      <c r="H37" s="83">
        <f t="shared" si="4"/>
        <v>0.108</v>
      </c>
      <c r="I37" s="85">
        <f t="shared" si="5"/>
        <v>0.105</v>
      </c>
      <c r="J37" s="86" t="s">
        <v>66</v>
      </c>
      <c r="L37" s="175" t="s">
        <v>92</v>
      </c>
      <c r="M37" s="61">
        <v>0.0</v>
      </c>
      <c r="O37" s="76"/>
    </row>
    <row r="38" ht="13.5" customHeight="1">
      <c r="A38" s="62"/>
      <c r="B38" s="108" t="s">
        <v>25</v>
      </c>
      <c r="C38" s="109">
        <f t="shared" si="7"/>
        <v>0.21</v>
      </c>
      <c r="D38" s="66">
        <v>1.0</v>
      </c>
      <c r="E38" s="179">
        <f t="shared" si="9"/>
        <v>0</v>
      </c>
      <c r="F38" s="68">
        <f>F39</f>
        <v>0.175</v>
      </c>
      <c r="G38" s="70">
        <f t="shared" si="3"/>
        <v>0.135</v>
      </c>
      <c r="H38" s="71">
        <f t="shared" si="4"/>
        <v>0.108</v>
      </c>
      <c r="I38" s="72">
        <f t="shared" si="5"/>
        <v>0.105</v>
      </c>
      <c r="J38" s="73" t="s">
        <v>67</v>
      </c>
      <c r="L38" s="175" t="s">
        <v>93</v>
      </c>
      <c r="M38" s="61">
        <v>0.0</v>
      </c>
      <c r="O38" s="76"/>
    </row>
    <row r="39" ht="13.5" customHeight="1">
      <c r="A39" s="112"/>
      <c r="B39" s="113" t="s">
        <v>68</v>
      </c>
      <c r="C39" s="114">
        <f t="shared" si="7"/>
        <v>0.21</v>
      </c>
      <c r="D39" s="115">
        <v>0.0</v>
      </c>
      <c r="E39" s="182">
        <v>0.0</v>
      </c>
      <c r="F39" s="117">
        <f>F37</f>
        <v>0.175</v>
      </c>
      <c r="G39" s="119">
        <f t="shared" si="3"/>
        <v>0.135</v>
      </c>
      <c r="H39" s="121">
        <f t="shared" si="4"/>
        <v>0.108</v>
      </c>
      <c r="I39" s="122">
        <f t="shared" si="5"/>
        <v>0.105</v>
      </c>
      <c r="J39" s="123" t="s">
        <v>70</v>
      </c>
      <c r="L39" s="183" t="s">
        <v>94</v>
      </c>
      <c r="M39" s="184">
        <v>0.0</v>
      </c>
      <c r="O39" s="76"/>
    </row>
    <row r="40" ht="12.75" customHeight="1">
      <c r="B40" s="7"/>
      <c r="C40" s="76"/>
      <c r="D40" s="76"/>
      <c r="E40" s="76"/>
      <c r="F40" s="76"/>
      <c r="G40" s="76"/>
      <c r="H40" s="76"/>
      <c r="I40" s="76"/>
      <c r="J40" s="91"/>
      <c r="K40" s="49"/>
      <c r="L40" s="7"/>
      <c r="M40" s="126"/>
      <c r="N40" s="126"/>
      <c r="O40" s="126"/>
      <c r="P40" s="126"/>
      <c r="Q40" s="126"/>
      <c r="R40" s="126"/>
      <c r="S40" s="126"/>
      <c r="T40" s="91"/>
    </row>
    <row r="41" ht="12.75" customHeight="1">
      <c r="A41" s="49"/>
      <c r="B41" s="7"/>
      <c r="C41" s="76"/>
      <c r="D41" s="76"/>
      <c r="E41" s="76"/>
      <c r="F41" s="76"/>
      <c r="G41" s="76"/>
      <c r="H41" s="76"/>
      <c r="I41" s="76"/>
      <c r="J41" s="91"/>
      <c r="K41" s="49"/>
      <c r="L41" s="7"/>
      <c r="M41" s="126"/>
      <c r="N41" s="126"/>
      <c r="O41" s="126"/>
      <c r="P41" s="126"/>
      <c r="Q41" s="126"/>
      <c r="R41" s="126"/>
      <c r="S41" s="126"/>
      <c r="T41" s="91"/>
    </row>
    <row r="42" ht="12.75" customHeight="1">
      <c r="A42" s="49"/>
      <c r="B42" s="7"/>
      <c r="C42" s="76"/>
      <c r="D42" s="76"/>
      <c r="E42" s="76"/>
      <c r="F42" s="76"/>
      <c r="G42" s="76"/>
      <c r="H42" s="76"/>
      <c r="I42" s="76"/>
      <c r="J42" s="91"/>
      <c r="K42" s="49"/>
      <c r="L42" s="7"/>
      <c r="M42" s="126"/>
      <c r="N42" s="126"/>
      <c r="O42" s="126"/>
      <c r="P42" s="126"/>
      <c r="Q42" s="126"/>
      <c r="R42" s="126"/>
      <c r="S42" s="126"/>
      <c r="T42" s="91"/>
    </row>
    <row r="43" ht="12.75" customHeight="1">
      <c r="B43" s="7"/>
      <c r="C43" s="76"/>
      <c r="D43" s="76"/>
      <c r="E43" s="76"/>
      <c r="F43" s="76"/>
      <c r="G43" s="76"/>
      <c r="H43" s="76"/>
      <c r="I43" s="76"/>
      <c r="J43" s="91"/>
      <c r="K43" s="49"/>
      <c r="L43" s="7"/>
      <c r="M43" s="126"/>
      <c r="N43" s="126"/>
      <c r="O43" s="126"/>
      <c r="P43" s="126"/>
      <c r="Q43" s="126"/>
      <c r="R43" s="126"/>
      <c r="S43" s="126"/>
      <c r="T43" s="91"/>
    </row>
    <row r="44" ht="12.75" customHeight="1">
      <c r="B44" s="7"/>
      <c r="C44" s="76"/>
      <c r="D44" s="76"/>
      <c r="E44" s="76"/>
      <c r="F44" s="76"/>
      <c r="G44" s="151" t="s">
        <v>71</v>
      </c>
      <c r="H44" s="153"/>
      <c r="I44" s="155"/>
      <c r="J44" s="91"/>
      <c r="K44" s="49"/>
      <c r="L44" s="7"/>
      <c r="M44" s="126"/>
      <c r="N44" s="126"/>
      <c r="O44" s="126"/>
      <c r="P44" s="126"/>
      <c r="Q44" s="126"/>
      <c r="R44" s="126"/>
      <c r="S44" s="126"/>
      <c r="T44" s="91"/>
    </row>
    <row r="45">
      <c r="D45" s="127"/>
      <c r="E45" s="127"/>
      <c r="F45" s="127"/>
      <c r="G45" s="127"/>
      <c r="H45" s="128"/>
      <c r="L45" s="35" t="s">
        <v>30</v>
      </c>
    </row>
    <row r="46" ht="12.75" customHeight="1">
      <c r="A46" s="129"/>
      <c r="B46" s="34"/>
      <c r="C46" s="36" t="s">
        <v>31</v>
      </c>
      <c r="D46" s="36" t="s">
        <v>33</v>
      </c>
      <c r="E46" s="37" t="s">
        <v>35</v>
      </c>
      <c r="F46" s="186" t="s">
        <v>41</v>
      </c>
      <c r="G46" s="47" t="s">
        <v>42</v>
      </c>
      <c r="H46" s="40" t="s">
        <v>38</v>
      </c>
      <c r="I46" s="41" t="s">
        <v>39</v>
      </c>
      <c r="J46" s="130"/>
      <c r="L46" s="170" t="s">
        <v>33</v>
      </c>
      <c r="M46" s="44" t="s">
        <v>40</v>
      </c>
      <c r="O46" s="187">
        <v>44995.0</v>
      </c>
    </row>
    <row r="47" ht="12.75" customHeight="1">
      <c r="A47" s="131"/>
      <c r="B47" s="7" t="s">
        <v>3</v>
      </c>
      <c r="C47" s="49" t="s">
        <v>43</v>
      </c>
      <c r="D47" s="7" t="s">
        <v>44</v>
      </c>
      <c r="E47" s="52"/>
      <c r="F47" s="53" t="s">
        <v>46</v>
      </c>
      <c r="G47" s="54" t="s">
        <v>46</v>
      </c>
      <c r="H47" s="56" t="s">
        <v>47</v>
      </c>
      <c r="I47" s="58" t="s">
        <v>37</v>
      </c>
      <c r="J47" s="59" t="s">
        <v>33</v>
      </c>
      <c r="L47" s="172"/>
      <c r="M47" s="61" t="s">
        <v>48</v>
      </c>
      <c r="O47" s="15" t="s">
        <v>95</v>
      </c>
    </row>
    <row r="48" ht="12.75" customHeight="1">
      <c r="A48" s="62"/>
      <c r="B48" s="63" t="s">
        <v>5</v>
      </c>
      <c r="C48" s="135">
        <f t="shared" ref="C48:C59" si="10">J4</f>
        <v>0.18</v>
      </c>
      <c r="D48" s="133">
        <v>13.0</v>
      </c>
      <c r="E48" s="141">
        <v>0.0055</v>
      </c>
      <c r="F48" s="136">
        <f t="shared" ref="F48:F59" si="11">I48+$D$17</f>
        <v>0.16</v>
      </c>
      <c r="G48" s="70">
        <f t="shared" ref="G48:G59" si="12">I48+$D$18</f>
        <v>0.12</v>
      </c>
      <c r="H48" s="71">
        <f t="shared" ref="H48:H61" si="13">I48+0.003</f>
        <v>0.093</v>
      </c>
      <c r="I48" s="72">
        <f t="shared" ref="I48:I61" si="14">C48/2</f>
        <v>0.09</v>
      </c>
      <c r="J48" s="73" t="s">
        <v>49</v>
      </c>
      <c r="L48" s="175" t="s">
        <v>79</v>
      </c>
      <c r="M48" s="61">
        <v>0.0775</v>
      </c>
    </row>
    <row r="49" ht="12.75" customHeight="1">
      <c r="A49" s="77" t="s">
        <v>69</v>
      </c>
      <c r="B49" s="7" t="s">
        <v>9</v>
      </c>
      <c r="C49" s="20">
        <f t="shared" si="10"/>
        <v>0.191</v>
      </c>
      <c r="D49" s="79">
        <v>12.0</v>
      </c>
      <c r="E49" s="141">
        <v>0.0055</v>
      </c>
      <c r="F49" s="139">
        <f t="shared" si="11"/>
        <v>0.1655</v>
      </c>
      <c r="G49" s="82">
        <f t="shared" si="12"/>
        <v>0.1255</v>
      </c>
      <c r="H49" s="83">
        <f t="shared" si="13"/>
        <v>0.0985</v>
      </c>
      <c r="I49" s="85">
        <f t="shared" si="14"/>
        <v>0.0955</v>
      </c>
      <c r="J49" s="86" t="s">
        <v>51</v>
      </c>
      <c r="L49" s="175" t="s">
        <v>81</v>
      </c>
      <c r="M49" s="61">
        <v>0.072</v>
      </c>
    </row>
    <row r="50" ht="12.75" customHeight="1">
      <c r="A50" s="62"/>
      <c r="B50" s="63" t="s">
        <v>13</v>
      </c>
      <c r="C50" s="135">
        <f t="shared" si="10"/>
        <v>0.202</v>
      </c>
      <c r="D50" s="133">
        <v>11.0</v>
      </c>
      <c r="E50" s="141">
        <v>0.0085</v>
      </c>
      <c r="F50" s="136">
        <f t="shared" si="11"/>
        <v>0.171</v>
      </c>
      <c r="G50" s="70">
        <f t="shared" si="12"/>
        <v>0.131</v>
      </c>
      <c r="H50" s="71">
        <f t="shared" si="13"/>
        <v>0.104</v>
      </c>
      <c r="I50" s="72">
        <f t="shared" si="14"/>
        <v>0.101</v>
      </c>
      <c r="J50" s="73" t="s">
        <v>52</v>
      </c>
      <c r="L50" s="175" t="s">
        <v>82</v>
      </c>
      <c r="M50" s="61">
        <v>0.0665</v>
      </c>
    </row>
    <row r="51" ht="12.75" customHeight="1">
      <c r="A51" s="48"/>
      <c r="B51" s="7" t="s">
        <v>16</v>
      </c>
      <c r="C51" s="20">
        <f t="shared" si="10"/>
        <v>0.219</v>
      </c>
      <c r="D51" s="79">
        <v>10.0</v>
      </c>
      <c r="E51" s="141">
        <v>0.006</v>
      </c>
      <c r="F51" s="139">
        <f t="shared" si="11"/>
        <v>0.1795</v>
      </c>
      <c r="G51" s="82">
        <f t="shared" si="12"/>
        <v>0.1395</v>
      </c>
      <c r="H51" s="83">
        <f t="shared" si="13"/>
        <v>0.1125</v>
      </c>
      <c r="I51" s="85">
        <f t="shared" si="14"/>
        <v>0.1095</v>
      </c>
      <c r="J51" s="86" t="s">
        <v>53</v>
      </c>
      <c r="L51" s="175" t="s">
        <v>83</v>
      </c>
      <c r="M51" s="61">
        <v>0.058</v>
      </c>
    </row>
    <row r="52" ht="12.75" customHeight="1">
      <c r="A52" s="62"/>
      <c r="B52" s="63" t="s">
        <v>17</v>
      </c>
      <c r="C52" s="135">
        <f t="shared" si="10"/>
        <v>0.231</v>
      </c>
      <c r="D52" s="133">
        <v>9.0</v>
      </c>
      <c r="E52" s="141">
        <v>0.0075</v>
      </c>
      <c r="F52" s="136">
        <f t="shared" si="11"/>
        <v>0.1855</v>
      </c>
      <c r="G52" s="70">
        <f t="shared" si="12"/>
        <v>0.1455</v>
      </c>
      <c r="H52" s="71">
        <f t="shared" si="13"/>
        <v>0.1185</v>
      </c>
      <c r="I52" s="72">
        <f t="shared" si="14"/>
        <v>0.1155</v>
      </c>
      <c r="J52" s="73" t="s">
        <v>54</v>
      </c>
      <c r="L52" s="175" t="s">
        <v>84</v>
      </c>
      <c r="M52" s="61">
        <v>0.052</v>
      </c>
    </row>
    <row r="53" ht="12.75" customHeight="1">
      <c r="A53" s="48"/>
      <c r="B53" s="7" t="s">
        <v>18</v>
      </c>
      <c r="C53" s="20">
        <f t="shared" si="10"/>
        <v>0.246</v>
      </c>
      <c r="D53" s="97">
        <v>8.0</v>
      </c>
      <c r="E53" s="164">
        <v>0.0085</v>
      </c>
      <c r="F53" s="165">
        <f t="shared" si="11"/>
        <v>0.193</v>
      </c>
      <c r="G53" s="100">
        <f t="shared" si="12"/>
        <v>0.153</v>
      </c>
      <c r="H53" s="103">
        <f t="shared" si="13"/>
        <v>0.126</v>
      </c>
      <c r="I53" s="104">
        <f t="shared" si="14"/>
        <v>0.123</v>
      </c>
      <c r="J53" s="105" t="s">
        <v>55</v>
      </c>
      <c r="L53" s="175" t="s">
        <v>85</v>
      </c>
      <c r="M53" s="61">
        <v>0.0445</v>
      </c>
    </row>
    <row r="54" ht="12.75" customHeight="1">
      <c r="A54" s="62"/>
      <c r="B54" s="63" t="s">
        <v>19</v>
      </c>
      <c r="C54" s="135">
        <f t="shared" si="10"/>
        <v>0.263</v>
      </c>
      <c r="D54" s="133">
        <v>7.0</v>
      </c>
      <c r="E54" s="141">
        <v>0.007</v>
      </c>
      <c r="F54" s="136">
        <f t="shared" si="11"/>
        <v>0.2015</v>
      </c>
      <c r="G54" s="70">
        <f t="shared" si="12"/>
        <v>0.1615</v>
      </c>
      <c r="H54" s="71">
        <f t="shared" si="13"/>
        <v>0.1345</v>
      </c>
      <c r="I54" s="72">
        <f t="shared" si="14"/>
        <v>0.1315</v>
      </c>
      <c r="J54" s="73" t="s">
        <v>56</v>
      </c>
      <c r="L54" s="175" t="s">
        <v>86</v>
      </c>
      <c r="M54" s="61">
        <v>0.036</v>
      </c>
    </row>
    <row r="55" ht="12.75" customHeight="1">
      <c r="A55" s="48"/>
      <c r="B55" s="7" t="s">
        <v>20</v>
      </c>
      <c r="C55" s="20">
        <f t="shared" si="10"/>
        <v>0.277</v>
      </c>
      <c r="D55" s="79">
        <v>6.0</v>
      </c>
      <c r="E55" s="141">
        <v>0.007</v>
      </c>
      <c r="F55" s="139">
        <f t="shared" si="11"/>
        <v>0.2085</v>
      </c>
      <c r="G55" s="82">
        <f t="shared" si="12"/>
        <v>0.1685</v>
      </c>
      <c r="H55" s="83">
        <f t="shared" si="13"/>
        <v>0.1415</v>
      </c>
      <c r="I55" s="85">
        <f t="shared" si="14"/>
        <v>0.1385</v>
      </c>
      <c r="J55" s="86" t="s">
        <v>57</v>
      </c>
      <c r="L55" s="175" t="s">
        <v>87</v>
      </c>
      <c r="M55" s="61">
        <v>0.029</v>
      </c>
    </row>
    <row r="56" ht="12.75" customHeight="1">
      <c r="A56" s="62"/>
      <c r="B56" s="63" t="s">
        <v>21</v>
      </c>
      <c r="C56" s="135">
        <f t="shared" si="10"/>
        <v>0.291</v>
      </c>
      <c r="D56" s="133">
        <v>5.0</v>
      </c>
      <c r="E56" s="141">
        <v>0.006</v>
      </c>
      <c r="F56" s="136">
        <f t="shared" si="11"/>
        <v>0.2155</v>
      </c>
      <c r="G56" s="70">
        <f t="shared" si="12"/>
        <v>0.1755</v>
      </c>
      <c r="H56" s="71">
        <f t="shared" si="13"/>
        <v>0.1485</v>
      </c>
      <c r="I56" s="72">
        <f t="shared" si="14"/>
        <v>0.1455</v>
      </c>
      <c r="J56" s="73" t="s">
        <v>58</v>
      </c>
      <c r="L56" s="175" t="s">
        <v>88</v>
      </c>
      <c r="M56" s="61">
        <v>0.022</v>
      </c>
    </row>
    <row r="57" ht="12.75" customHeight="1">
      <c r="A57" s="48"/>
      <c r="B57" s="7" t="s">
        <v>22</v>
      </c>
      <c r="C57" s="20">
        <f t="shared" si="10"/>
        <v>0.303</v>
      </c>
      <c r="D57" s="79">
        <v>4.0</v>
      </c>
      <c r="E57" s="141">
        <v>0.0105</v>
      </c>
      <c r="F57" s="139">
        <f t="shared" si="11"/>
        <v>0.2215</v>
      </c>
      <c r="G57" s="82">
        <f t="shared" si="12"/>
        <v>0.1815</v>
      </c>
      <c r="H57" s="83">
        <f t="shared" si="13"/>
        <v>0.1545</v>
      </c>
      <c r="I57" s="85">
        <f t="shared" si="14"/>
        <v>0.1515</v>
      </c>
      <c r="J57" s="86" t="s">
        <v>59</v>
      </c>
      <c r="L57" s="175" t="s">
        <v>89</v>
      </c>
      <c r="M57" s="61">
        <v>0.016</v>
      </c>
    </row>
    <row r="58" ht="12.75" customHeight="1">
      <c r="A58" s="62"/>
      <c r="B58" s="63" t="s">
        <v>23</v>
      </c>
      <c r="C58" s="135">
        <f t="shared" si="10"/>
        <v>0.324</v>
      </c>
      <c r="D58" s="133">
        <v>3.0</v>
      </c>
      <c r="E58" s="141">
        <v>0.0055</v>
      </c>
      <c r="F58" s="136">
        <f t="shared" si="11"/>
        <v>0.232</v>
      </c>
      <c r="G58" s="70">
        <f t="shared" si="12"/>
        <v>0.192</v>
      </c>
      <c r="H58" s="71">
        <f t="shared" si="13"/>
        <v>0.165</v>
      </c>
      <c r="I58" s="72">
        <f t="shared" si="14"/>
        <v>0.162</v>
      </c>
      <c r="J58" s="73" t="s">
        <v>65</v>
      </c>
      <c r="L58" s="175" t="s">
        <v>91</v>
      </c>
      <c r="M58" s="61">
        <v>0.0055</v>
      </c>
    </row>
    <row r="59" ht="12.75" customHeight="1">
      <c r="A59" s="48"/>
      <c r="B59" s="7" t="s">
        <v>24</v>
      </c>
      <c r="C59" s="20">
        <f t="shared" si="10"/>
        <v>0.335</v>
      </c>
      <c r="D59" s="79">
        <v>2.0</v>
      </c>
      <c r="E59" s="134">
        <v>0.0</v>
      </c>
      <c r="F59" s="139">
        <f t="shared" si="11"/>
        <v>0.2375</v>
      </c>
      <c r="G59" s="82">
        <f t="shared" si="12"/>
        <v>0.1975</v>
      </c>
      <c r="H59" s="83">
        <f t="shared" si="13"/>
        <v>0.1705</v>
      </c>
      <c r="I59" s="85">
        <f t="shared" si="14"/>
        <v>0.1675</v>
      </c>
      <c r="J59" s="86" t="s">
        <v>66</v>
      </c>
      <c r="L59" s="175" t="s">
        <v>92</v>
      </c>
      <c r="M59" s="61">
        <v>0.0</v>
      </c>
    </row>
    <row r="60" ht="12.75" customHeight="1">
      <c r="A60" s="62"/>
      <c r="B60" s="63"/>
      <c r="C60" s="154">
        <f>J15</f>
        <v>0.335</v>
      </c>
      <c r="D60" s="133">
        <v>1.0</v>
      </c>
      <c r="E60" s="134">
        <f>(I61-I60)+E61</f>
        <v>0</v>
      </c>
      <c r="F60" s="136">
        <f>F61</f>
        <v>0.2375</v>
      </c>
      <c r="G60" s="70">
        <f t="shared" ref="G60:G61" si="15">G59</f>
        <v>0.1975</v>
      </c>
      <c r="H60" s="71">
        <f t="shared" si="13"/>
        <v>0.1705</v>
      </c>
      <c r="I60" s="72">
        <f t="shared" si="14"/>
        <v>0.1675</v>
      </c>
      <c r="J60" s="73" t="s">
        <v>67</v>
      </c>
      <c r="L60" s="175" t="s">
        <v>93</v>
      </c>
      <c r="M60" s="61">
        <v>0.0</v>
      </c>
    </row>
    <row r="61" ht="13.5" customHeight="1">
      <c r="A61" s="112"/>
      <c r="B61" s="142"/>
      <c r="C61" s="143">
        <f>J15</f>
        <v>0.335</v>
      </c>
      <c r="D61" s="115">
        <v>0.0</v>
      </c>
      <c r="E61" s="144">
        <v>0.0</v>
      </c>
      <c r="F61" s="145">
        <f>F59</f>
        <v>0.2375</v>
      </c>
      <c r="G61" s="119">
        <f t="shared" si="15"/>
        <v>0.1975</v>
      </c>
      <c r="H61" s="121">
        <f t="shared" si="13"/>
        <v>0.1705</v>
      </c>
      <c r="I61" s="146">
        <f t="shared" si="14"/>
        <v>0.1675</v>
      </c>
      <c r="J61" s="123" t="s">
        <v>70</v>
      </c>
      <c r="L61" s="183" t="s">
        <v>94</v>
      </c>
      <c r="M61" s="184">
        <v>0.0</v>
      </c>
    </row>
    <row r="62" ht="12.75" customHeight="1">
      <c r="A62" s="95"/>
      <c r="B62" s="88"/>
      <c r="C62" s="126"/>
      <c r="D62" s="148"/>
      <c r="E62" s="149"/>
      <c r="F62" s="79"/>
      <c r="G62" s="150"/>
      <c r="H62" s="95"/>
      <c r="I62" s="152"/>
      <c r="J62" s="91"/>
    </row>
    <row r="63" ht="12.75" customHeight="1">
      <c r="A63" s="95"/>
      <c r="B63" s="88"/>
      <c r="C63" s="126"/>
      <c r="D63" s="148"/>
      <c r="E63" s="149"/>
      <c r="F63" s="79"/>
      <c r="G63" s="150"/>
      <c r="H63" s="126"/>
      <c r="I63" s="152"/>
      <c r="J63" s="91"/>
    </row>
    <row r="64" ht="12.75" customHeight="1">
      <c r="A64" s="49"/>
      <c r="B64" s="7"/>
      <c r="C64" s="126"/>
      <c r="D64" s="148"/>
      <c r="E64" s="149"/>
      <c r="F64" s="79"/>
      <c r="G64" s="150"/>
      <c r="H64" s="126"/>
      <c r="I64" s="152"/>
      <c r="J64" s="91"/>
    </row>
    <row r="65" ht="12.75" customHeight="1">
      <c r="A65" s="49"/>
      <c r="B65" s="7"/>
      <c r="C65" s="126"/>
      <c r="D65" s="148"/>
      <c r="E65" s="149"/>
      <c r="F65" s="79"/>
      <c r="G65" s="150"/>
      <c r="H65" s="126"/>
      <c r="I65" s="152"/>
      <c r="J65" s="91"/>
      <c r="M65" s="49"/>
      <c r="T65" s="156"/>
    </row>
    <row r="66" ht="12.75" customHeight="1">
      <c r="A66" s="5"/>
      <c r="B66" s="156"/>
      <c r="D66" s="49"/>
      <c r="E66" s="49"/>
      <c r="F66" s="49"/>
      <c r="G66" s="49"/>
      <c r="J66" s="157"/>
      <c r="M66" s="49"/>
      <c r="T66" s="157"/>
    </row>
    <row r="67" ht="12.75" customHeight="1">
      <c r="A67" s="5"/>
      <c r="B67" s="158"/>
      <c r="M67" s="49"/>
      <c r="T67" s="157"/>
    </row>
    <row r="68" ht="12.75" customHeight="1">
      <c r="A68" s="5"/>
      <c r="B68" s="159"/>
      <c r="D68" s="49"/>
      <c r="E68" s="49"/>
      <c r="F68" s="49"/>
      <c r="G68" s="49"/>
      <c r="K68" s="156"/>
      <c r="M68" s="49"/>
      <c r="T68" s="157"/>
    </row>
    <row r="69" ht="12.75" customHeight="1">
      <c r="A69" s="5"/>
      <c r="B69" s="157"/>
      <c r="D69" s="49"/>
      <c r="E69" s="49"/>
      <c r="F69" s="49"/>
      <c r="G69" s="49"/>
      <c r="K69" s="156"/>
    </row>
    <row r="70" ht="12.75" customHeight="1">
      <c r="A70" s="5"/>
      <c r="B70" s="160"/>
      <c r="M70" s="91"/>
      <c r="N70" s="5"/>
      <c r="O70" s="5"/>
      <c r="P70" s="5"/>
      <c r="Q70" s="5"/>
      <c r="R70" s="91"/>
      <c r="S70" s="46"/>
    </row>
    <row r="71" ht="12.75" customHeight="1">
      <c r="A71" s="91"/>
      <c r="B71" s="7"/>
      <c r="C71" s="46"/>
      <c r="D71" s="46"/>
      <c r="E71" s="46"/>
      <c r="F71" s="46"/>
      <c r="G71" s="46"/>
      <c r="H71" s="91"/>
      <c r="I71" s="91"/>
      <c r="J71" s="91"/>
      <c r="K71" s="91"/>
      <c r="M71" s="91"/>
      <c r="N71" s="49"/>
      <c r="O71" s="49"/>
      <c r="P71" s="49"/>
      <c r="Q71" s="49"/>
      <c r="R71" s="46"/>
      <c r="T71" s="46"/>
      <c r="U71" s="7"/>
    </row>
    <row r="72" ht="12.75" customHeight="1">
      <c r="A72" s="7"/>
      <c r="B72" s="128"/>
      <c r="D72" s="7"/>
      <c r="E72" s="7"/>
      <c r="F72" s="7"/>
      <c r="G72" s="7"/>
      <c r="H72" s="7"/>
      <c r="I72" s="7"/>
      <c r="J72" s="7"/>
      <c r="K72" s="7"/>
      <c r="M72" s="7"/>
      <c r="R72" s="7"/>
      <c r="S72" s="7"/>
      <c r="T72" s="7"/>
      <c r="U72" s="7"/>
    </row>
    <row r="73" ht="12.75" customHeight="1">
      <c r="A73" s="7"/>
      <c r="B73" s="10"/>
      <c r="C73" s="76"/>
      <c r="D73" s="162"/>
      <c r="E73" s="162"/>
      <c r="F73" s="162"/>
      <c r="G73" s="162"/>
      <c r="H73" s="162"/>
      <c r="I73" s="162"/>
      <c r="J73" s="91"/>
      <c r="K73" s="91"/>
      <c r="M73" s="7"/>
      <c r="N73" s="10"/>
      <c r="O73" s="10"/>
      <c r="P73" s="10"/>
      <c r="Q73" s="10"/>
      <c r="R73" s="162"/>
      <c r="S73" s="162"/>
      <c r="T73" s="162"/>
      <c r="U73" s="91"/>
    </row>
    <row r="74" ht="12.75" customHeight="1">
      <c r="A74" s="7"/>
      <c r="B74" s="10"/>
      <c r="C74" s="76"/>
      <c r="D74" s="162"/>
      <c r="E74" s="162"/>
      <c r="F74" s="162"/>
      <c r="G74" s="162"/>
      <c r="H74" s="162"/>
      <c r="I74" s="162"/>
      <c r="J74" s="91"/>
      <c r="K74" s="88"/>
      <c r="M74" s="7"/>
      <c r="N74" s="10"/>
      <c r="O74" s="10"/>
      <c r="P74" s="10"/>
      <c r="Q74" s="10"/>
      <c r="R74" s="162"/>
      <c r="S74" s="162"/>
      <c r="T74" s="162"/>
      <c r="U74" s="91"/>
      <c r="V74" s="88"/>
    </row>
    <row r="75" ht="12.75" customHeight="1">
      <c r="A75" s="7"/>
      <c r="B75" s="10"/>
      <c r="C75" s="76"/>
      <c r="D75" s="162"/>
      <c r="E75" s="162"/>
      <c r="F75" s="162"/>
      <c r="G75" s="162"/>
      <c r="H75" s="162"/>
      <c r="I75" s="162"/>
      <c r="J75" s="91"/>
      <c r="K75" s="91"/>
      <c r="M75" s="7"/>
      <c r="N75" s="10"/>
      <c r="O75" s="10"/>
      <c r="P75" s="10"/>
      <c r="Q75" s="10"/>
      <c r="R75" s="162"/>
      <c r="S75" s="162"/>
      <c r="T75" s="162"/>
      <c r="U75" s="91"/>
      <c r="V75" s="91"/>
    </row>
    <row r="76" ht="12.75" customHeight="1">
      <c r="A76" s="7"/>
      <c r="B76" s="10"/>
      <c r="C76" s="76"/>
      <c r="D76" s="162"/>
      <c r="E76" s="162"/>
      <c r="F76" s="162"/>
      <c r="G76" s="162"/>
      <c r="H76" s="162"/>
      <c r="I76" s="162"/>
      <c r="J76" s="91"/>
      <c r="K76" s="91"/>
      <c r="M76" s="7"/>
      <c r="N76" s="10"/>
      <c r="O76" s="10"/>
      <c r="P76" s="10"/>
      <c r="Q76" s="10"/>
      <c r="R76" s="162"/>
      <c r="S76" s="162"/>
      <c r="T76" s="162"/>
      <c r="U76" s="91"/>
      <c r="V76" s="91"/>
    </row>
    <row r="77" ht="12.75" customHeight="1">
      <c r="A77" s="7"/>
      <c r="B77" s="10"/>
      <c r="C77" s="76"/>
      <c r="D77" s="162"/>
      <c r="E77" s="162"/>
      <c r="F77" s="162"/>
      <c r="G77" s="162"/>
      <c r="H77" s="162"/>
      <c r="I77" s="162"/>
      <c r="J77" s="91"/>
      <c r="K77" s="88"/>
      <c r="M77" s="7"/>
      <c r="N77" s="10"/>
      <c r="O77" s="10"/>
      <c r="P77" s="10"/>
      <c r="Q77" s="10"/>
      <c r="R77" s="162"/>
      <c r="S77" s="162"/>
      <c r="T77" s="162"/>
      <c r="U77" s="91"/>
      <c r="V77" s="88"/>
    </row>
    <row r="78" ht="12.75" customHeight="1">
      <c r="A78" s="7"/>
      <c r="B78" s="10"/>
      <c r="C78" s="76"/>
      <c r="D78" s="162"/>
      <c r="E78" s="162"/>
      <c r="F78" s="162"/>
      <c r="G78" s="162"/>
      <c r="H78" s="162"/>
      <c r="I78" s="162"/>
      <c r="J78" s="91"/>
      <c r="K78" s="91"/>
      <c r="M78" s="7"/>
      <c r="N78" s="10"/>
      <c r="O78" s="10"/>
      <c r="P78" s="10"/>
      <c r="Q78" s="10"/>
      <c r="R78" s="162"/>
      <c r="S78" s="162"/>
      <c r="T78" s="162"/>
      <c r="U78" s="91"/>
      <c r="V78" s="91"/>
    </row>
    <row r="79" ht="12.75" customHeight="1">
      <c r="A79" s="7"/>
      <c r="B79" s="10"/>
      <c r="C79" s="76"/>
      <c r="D79" s="162"/>
      <c r="E79" s="162"/>
      <c r="F79" s="162"/>
      <c r="G79" s="162"/>
      <c r="H79" s="162"/>
      <c r="I79" s="162"/>
      <c r="J79" s="91"/>
      <c r="K79" s="91"/>
      <c r="M79" s="7"/>
      <c r="N79" s="10"/>
      <c r="O79" s="10"/>
      <c r="P79" s="10"/>
      <c r="Q79" s="10"/>
      <c r="R79" s="162"/>
      <c r="S79" s="162"/>
      <c r="T79" s="162"/>
      <c r="U79" s="91"/>
      <c r="V79" s="91"/>
    </row>
    <row r="80" ht="12.75" customHeight="1">
      <c r="A80" s="7"/>
      <c r="B80" s="10"/>
      <c r="C80" s="76"/>
      <c r="D80" s="162"/>
      <c r="E80" s="162"/>
      <c r="F80" s="162"/>
      <c r="G80" s="162"/>
      <c r="H80" s="162"/>
      <c r="I80" s="162"/>
      <c r="J80" s="91"/>
      <c r="K80" s="88"/>
      <c r="M80" s="7"/>
      <c r="N80" s="10"/>
      <c r="O80" s="10"/>
      <c r="P80" s="10"/>
      <c r="Q80" s="10"/>
      <c r="R80" s="162"/>
      <c r="S80" s="162"/>
      <c r="T80" s="162"/>
      <c r="U80" s="91"/>
      <c r="V80" s="88"/>
    </row>
    <row r="81" ht="12.75" customHeight="1">
      <c r="A81" s="7"/>
      <c r="B81" s="10"/>
      <c r="C81" s="76"/>
      <c r="D81" s="162"/>
      <c r="E81" s="162"/>
      <c r="F81" s="162"/>
      <c r="G81" s="162"/>
      <c r="H81" s="162"/>
      <c r="I81" s="162"/>
      <c r="J81" s="91"/>
      <c r="K81" s="91"/>
      <c r="M81" s="7"/>
      <c r="N81" s="10"/>
      <c r="O81" s="10"/>
      <c r="P81" s="10"/>
      <c r="Q81" s="10"/>
      <c r="R81" s="162"/>
      <c r="S81" s="162"/>
      <c r="T81" s="162"/>
      <c r="U81" s="91"/>
      <c r="V81" s="91"/>
    </row>
    <row r="82" ht="12.75" customHeight="1">
      <c r="A82" s="7"/>
      <c r="B82" s="10"/>
      <c r="C82" s="10"/>
      <c r="D82" s="162"/>
      <c r="E82" s="162"/>
      <c r="F82" s="162"/>
      <c r="G82" s="162"/>
      <c r="H82" s="162"/>
      <c r="I82" s="162"/>
      <c r="J82" s="91"/>
      <c r="M82" s="7"/>
      <c r="N82" s="10"/>
      <c r="O82" s="10"/>
      <c r="P82" s="10"/>
      <c r="Q82" s="10"/>
      <c r="R82" s="162"/>
      <c r="S82" s="162"/>
      <c r="T82" s="162"/>
      <c r="U82" s="91"/>
    </row>
    <row r="83" ht="12.75" customHeight="1">
      <c r="A83" s="7"/>
      <c r="B83" s="10"/>
      <c r="C83" s="10"/>
      <c r="D83" s="162"/>
      <c r="E83" s="162"/>
      <c r="F83" s="162"/>
      <c r="G83" s="162"/>
      <c r="H83" s="162"/>
      <c r="I83" s="162"/>
      <c r="J83" s="91"/>
      <c r="K83" s="88"/>
      <c r="M83" s="7"/>
      <c r="N83" s="10"/>
      <c r="O83" s="10"/>
      <c r="P83" s="10"/>
      <c r="Q83" s="10"/>
      <c r="R83" s="162"/>
      <c r="S83" s="162"/>
      <c r="T83" s="162"/>
      <c r="U83" s="91"/>
      <c r="V83" s="91"/>
    </row>
    <row r="84" ht="12.75" customHeight="1">
      <c r="A84" s="7"/>
      <c r="C84" s="10"/>
      <c r="D84" s="162"/>
      <c r="E84" s="162"/>
      <c r="F84" s="162"/>
      <c r="G84" s="162"/>
      <c r="K84" s="91"/>
      <c r="M84" s="7"/>
      <c r="N84" s="10"/>
      <c r="O84" s="10"/>
      <c r="P84" s="10"/>
      <c r="Q84" s="10"/>
      <c r="R84" s="162"/>
      <c r="S84" s="162"/>
      <c r="T84" s="162"/>
      <c r="U84" s="91"/>
      <c r="V84" s="88"/>
    </row>
    <row r="85" ht="12.75" customHeight="1">
      <c r="A85" s="7"/>
      <c r="C85" s="10"/>
      <c r="D85" s="162"/>
      <c r="E85" s="162"/>
      <c r="F85" s="162"/>
      <c r="G85" s="162"/>
      <c r="J85" s="7"/>
      <c r="K85" s="7"/>
      <c r="M85" s="7"/>
      <c r="N85" s="76"/>
      <c r="O85" s="76"/>
      <c r="P85" s="76"/>
      <c r="Q85" s="76"/>
      <c r="R85" s="162"/>
      <c r="S85" s="162"/>
      <c r="T85" s="162"/>
      <c r="U85" s="7"/>
      <c r="V85" s="7"/>
    </row>
    <row r="86" ht="12.75" customHeight="1">
      <c r="A86" s="7"/>
      <c r="C86" s="10"/>
      <c r="D86" s="162"/>
      <c r="E86" s="162"/>
      <c r="F86" s="162"/>
      <c r="G86" s="162"/>
      <c r="J86" s="7"/>
      <c r="K86" s="7"/>
    </row>
    <row r="87" ht="12.75" customHeight="1">
      <c r="A87" s="7"/>
      <c r="C87" s="10"/>
      <c r="D87" s="162"/>
      <c r="E87" s="162"/>
      <c r="F87" s="162"/>
      <c r="G87" s="162"/>
    </row>
    <row r="88" ht="12.75" customHeight="1">
      <c r="A88" s="7"/>
      <c r="B88" s="10"/>
      <c r="C88" s="76"/>
      <c r="D88" s="162"/>
      <c r="E88" s="162"/>
      <c r="F88" s="162"/>
      <c r="G88" s="162"/>
      <c r="H88" s="162"/>
      <c r="I88" s="162"/>
    </row>
    <row r="89" ht="12.75" customHeight="1">
      <c r="A89" s="7"/>
      <c r="B89" s="128"/>
      <c r="C89" s="76"/>
      <c r="D89" s="162"/>
      <c r="E89" s="162"/>
      <c r="F89" s="162"/>
      <c r="G89" s="162"/>
      <c r="H89" s="162"/>
      <c r="I89" s="162"/>
    </row>
    <row r="90" ht="12.75" customHeight="1">
      <c r="A90" s="7"/>
      <c r="B90" s="128"/>
      <c r="C90" s="76"/>
      <c r="D90" s="162"/>
      <c r="E90" s="162"/>
      <c r="F90" s="162"/>
      <c r="G90" s="162"/>
      <c r="H90" s="162"/>
      <c r="I90" s="162"/>
    </row>
    <row r="91" ht="12.75" customHeight="1">
      <c r="A91" s="7"/>
      <c r="B91" s="128"/>
      <c r="C91" s="76"/>
      <c r="D91" s="162"/>
      <c r="E91" s="162"/>
      <c r="F91" s="162"/>
      <c r="G91" s="162"/>
      <c r="H91" s="162"/>
      <c r="I91" s="162"/>
    </row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4">
    <mergeCell ref="A17:C17"/>
    <mergeCell ref="A18:C18"/>
    <mergeCell ref="G18:I18"/>
    <mergeCell ref="G44:I44"/>
  </mergeCells>
  <printOptions gridLines="1"/>
  <pageMargins bottom="0.75" footer="0.0" header="0.0" left="0.7" right="0.7" top="0.75"/>
  <pageSetup scale="90" orientation="landscape"/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8.5"/>
    <col customWidth="1" min="3" max="3" width="10.25"/>
    <col customWidth="1" min="4" max="4" width="7.0"/>
    <col customWidth="1" min="5" max="5" width="8.13"/>
    <col customWidth="1" min="6" max="6" width="8.88"/>
    <col customWidth="1" min="7" max="7" width="7.25"/>
    <col customWidth="1" min="8" max="8" width="7.0"/>
    <col customWidth="1" min="9" max="9" width="7.88"/>
    <col customWidth="1" min="10" max="10" width="8.0"/>
    <col customWidth="1" min="11" max="11" width="8.13"/>
    <col customWidth="1" min="12" max="12" width="7.0"/>
    <col customWidth="1" min="13" max="13" width="11.25"/>
    <col customWidth="1" min="14" max="26" width="7.0"/>
  </cols>
  <sheetData>
    <row r="1">
      <c r="A1" s="1"/>
      <c r="G1" s="2" t="s">
        <v>0</v>
      </c>
      <c r="I1" s="3"/>
    </row>
    <row r="2" ht="12.75" customHeight="1">
      <c r="A2" t="s">
        <v>1</v>
      </c>
    </row>
    <row r="3" ht="12.75" customHeight="1">
      <c r="G3" s="4" t="s">
        <v>2</v>
      </c>
      <c r="H3" s="4"/>
      <c r="I3" s="4"/>
      <c r="J3" s="4" t="s">
        <v>3</v>
      </c>
    </row>
    <row r="4" ht="12.75" customHeight="1">
      <c r="A4" s="5" t="s">
        <v>4</v>
      </c>
      <c r="B4" s="6" t="s">
        <v>78</v>
      </c>
      <c r="G4" s="7" t="s">
        <v>5</v>
      </c>
      <c r="H4" s="8">
        <v>0.062</v>
      </c>
      <c r="I4" t="s">
        <v>6</v>
      </c>
      <c r="J4" s="9">
        <v>0.19</v>
      </c>
      <c r="K4" t="s">
        <v>6</v>
      </c>
      <c r="R4" s="10"/>
    </row>
    <row r="5" ht="12.75" customHeight="1">
      <c r="A5" s="5" t="s">
        <v>8</v>
      </c>
      <c r="B5" s="6" t="s">
        <v>75</v>
      </c>
      <c r="F5" s="15">
        <v>0.0</v>
      </c>
      <c r="G5" s="7" t="s">
        <v>9</v>
      </c>
      <c r="H5" s="8">
        <v>0.066</v>
      </c>
      <c r="J5" s="9">
        <v>0.198</v>
      </c>
      <c r="L5">
        <f t="shared" ref="L5:L14" si="1">F5+50</f>
        <v>50</v>
      </c>
      <c r="M5" s="9">
        <v>0.198</v>
      </c>
      <c r="R5" s="10"/>
    </row>
    <row r="6" ht="12.75" customHeight="1">
      <c r="A6" s="5" t="s">
        <v>10</v>
      </c>
      <c r="B6" s="12" t="s">
        <v>77</v>
      </c>
      <c r="F6" s="15">
        <v>5.0</v>
      </c>
      <c r="G6" s="7" t="s">
        <v>13</v>
      </c>
      <c r="H6" s="8">
        <v>0.074</v>
      </c>
      <c r="J6" s="9">
        <v>0.21</v>
      </c>
      <c r="L6">
        <f t="shared" si="1"/>
        <v>55</v>
      </c>
      <c r="M6" s="9">
        <v>0.21</v>
      </c>
      <c r="R6" s="10"/>
    </row>
    <row r="7" ht="12.75" customHeight="1">
      <c r="A7" s="5" t="s">
        <v>14</v>
      </c>
      <c r="B7" s="13">
        <v>0.192</v>
      </c>
      <c r="F7" s="15">
        <v>10.0</v>
      </c>
      <c r="G7" s="7" t="s">
        <v>16</v>
      </c>
      <c r="H7" s="8">
        <v>0.086</v>
      </c>
      <c r="J7" s="9">
        <v>0.224</v>
      </c>
      <c r="L7">
        <f t="shared" si="1"/>
        <v>60</v>
      </c>
      <c r="M7" s="9">
        <v>0.224</v>
      </c>
      <c r="R7" s="10"/>
    </row>
    <row r="8" ht="12.75" customHeight="1">
      <c r="F8" s="15">
        <v>15.0</v>
      </c>
      <c r="G8" s="7" t="s">
        <v>17</v>
      </c>
      <c r="H8" s="8">
        <v>0.104</v>
      </c>
      <c r="J8" s="9">
        <v>0.236</v>
      </c>
      <c r="L8">
        <f t="shared" si="1"/>
        <v>65</v>
      </c>
      <c r="M8" s="9">
        <v>0.236</v>
      </c>
      <c r="R8" s="10"/>
    </row>
    <row r="9" ht="12.75" customHeight="1">
      <c r="F9" s="15">
        <v>20.0</v>
      </c>
      <c r="G9" s="7" t="s">
        <v>18</v>
      </c>
      <c r="H9" s="8">
        <v>0.124</v>
      </c>
      <c r="J9" s="9">
        <v>0.25</v>
      </c>
      <c r="L9">
        <f t="shared" si="1"/>
        <v>70</v>
      </c>
      <c r="M9" s="9">
        <v>0.25</v>
      </c>
      <c r="R9" s="10"/>
    </row>
    <row r="10" ht="12.75" customHeight="1">
      <c r="F10" s="15">
        <v>25.0</v>
      </c>
      <c r="G10" s="7" t="s">
        <v>19</v>
      </c>
      <c r="H10" s="8">
        <v>0.136</v>
      </c>
      <c r="J10" s="9">
        <v>0.266</v>
      </c>
      <c r="L10">
        <f t="shared" si="1"/>
        <v>75</v>
      </c>
      <c r="M10" s="9">
        <v>0.266</v>
      </c>
      <c r="R10" s="10"/>
    </row>
    <row r="11" ht="12.75" customHeight="1">
      <c r="F11" s="15">
        <v>30.0</v>
      </c>
      <c r="G11" s="7" t="s">
        <v>20</v>
      </c>
      <c r="H11" s="8">
        <v>0.15</v>
      </c>
      <c r="J11" s="9">
        <v>0.28</v>
      </c>
      <c r="L11">
        <f t="shared" si="1"/>
        <v>80</v>
      </c>
      <c r="M11" s="9">
        <v>0.28</v>
      </c>
      <c r="R11" s="10"/>
    </row>
    <row r="12" ht="12.75" customHeight="1">
      <c r="F12" s="15">
        <v>35.0</v>
      </c>
      <c r="G12" s="7" t="s">
        <v>21</v>
      </c>
      <c r="H12" s="8">
        <v>0.16</v>
      </c>
      <c r="J12" s="9">
        <v>0.294</v>
      </c>
      <c r="L12">
        <f t="shared" si="1"/>
        <v>85</v>
      </c>
      <c r="M12" s="9">
        <v>0.294</v>
      </c>
      <c r="R12" s="10"/>
    </row>
    <row r="13" ht="12.75" customHeight="1">
      <c r="F13" s="15">
        <v>40.0</v>
      </c>
      <c r="G13" s="7" t="s">
        <v>22</v>
      </c>
      <c r="H13" s="8">
        <v>0.178</v>
      </c>
      <c r="J13" s="9">
        <v>0.31</v>
      </c>
      <c r="L13">
        <f t="shared" si="1"/>
        <v>90</v>
      </c>
      <c r="M13" s="9">
        <v>0.31</v>
      </c>
      <c r="R13" s="10"/>
    </row>
    <row r="14" ht="12.75" customHeight="1">
      <c r="F14" s="15">
        <v>45.0</v>
      </c>
      <c r="G14" s="7" t="s">
        <v>23</v>
      </c>
      <c r="H14" s="8">
        <v>0.192</v>
      </c>
      <c r="J14" s="9">
        <v>0.324</v>
      </c>
      <c r="L14">
        <f t="shared" si="1"/>
        <v>95</v>
      </c>
      <c r="M14" s="9">
        <v>0.324</v>
      </c>
      <c r="R14" s="10"/>
    </row>
    <row r="15" ht="12.75" customHeight="1">
      <c r="G15" s="7" t="s">
        <v>24</v>
      </c>
      <c r="H15" s="8">
        <v>0.192</v>
      </c>
      <c r="I15" t="s">
        <v>6</v>
      </c>
      <c r="J15" s="9">
        <v>0.324</v>
      </c>
      <c r="K15" t="s">
        <v>6</v>
      </c>
      <c r="R15" s="10"/>
    </row>
    <row r="16" ht="12.75" customHeight="1">
      <c r="G16" s="17" t="s">
        <v>25</v>
      </c>
      <c r="H16" s="18">
        <f>H15</f>
        <v>0.192</v>
      </c>
      <c r="I16" s="19"/>
      <c r="J16" s="18">
        <f>J15</f>
        <v>0.324</v>
      </c>
      <c r="K16" s="18"/>
      <c r="M16" s="20"/>
      <c r="R16" s="10"/>
    </row>
    <row r="17" ht="13.5" customHeight="1">
      <c r="A17" s="4" t="s">
        <v>26</v>
      </c>
      <c r="D17" s="21">
        <v>0.07</v>
      </c>
      <c r="G17" s="17" t="s">
        <v>68</v>
      </c>
      <c r="H17" s="18">
        <f>H15</f>
        <v>0.192</v>
      </c>
      <c r="I17" s="19"/>
      <c r="J17" s="17">
        <v>0.294</v>
      </c>
      <c r="K17" s="18"/>
      <c r="M17" s="20"/>
      <c r="R17" s="10"/>
    </row>
    <row r="18" ht="13.5" customHeight="1">
      <c r="A18" s="4" t="s">
        <v>28</v>
      </c>
      <c r="D18" s="25">
        <v>0.03</v>
      </c>
      <c r="G18" s="168" t="s">
        <v>29</v>
      </c>
      <c r="H18" s="153"/>
      <c r="I18" s="155"/>
      <c r="J18" s="7"/>
      <c r="K18" s="26"/>
      <c r="M18" s="20"/>
      <c r="R18" s="10"/>
    </row>
    <row r="19">
      <c r="D19" s="32"/>
      <c r="G19" s="32"/>
      <c r="J19" s="7"/>
      <c r="L19" s="35" t="s">
        <v>30</v>
      </c>
    </row>
    <row r="20" ht="12.75" customHeight="1">
      <c r="A20" s="33"/>
      <c r="B20" s="34"/>
      <c r="C20" s="36" t="s">
        <v>31</v>
      </c>
      <c r="D20" s="36" t="s">
        <v>33</v>
      </c>
      <c r="E20" s="37" t="s">
        <v>35</v>
      </c>
      <c r="F20" s="45" t="s">
        <v>41</v>
      </c>
      <c r="G20" s="47" t="s">
        <v>42</v>
      </c>
      <c r="H20" s="40" t="s">
        <v>38</v>
      </c>
      <c r="I20" s="41" t="s">
        <v>39</v>
      </c>
      <c r="J20" s="42"/>
      <c r="L20" s="43" t="s">
        <v>33</v>
      </c>
      <c r="M20" s="44" t="s">
        <v>40</v>
      </c>
      <c r="O20" s="46"/>
    </row>
    <row r="21" ht="12.75" customHeight="1">
      <c r="A21" s="48"/>
      <c r="B21" s="7" t="s">
        <v>2</v>
      </c>
      <c r="C21" s="49" t="s">
        <v>43</v>
      </c>
      <c r="D21" s="7" t="s">
        <v>44</v>
      </c>
      <c r="E21" s="52"/>
      <c r="F21" s="53" t="s">
        <v>46</v>
      </c>
      <c r="G21" s="54" t="s">
        <v>46</v>
      </c>
      <c r="H21" s="56" t="s">
        <v>47</v>
      </c>
      <c r="I21" s="58" t="s">
        <v>37</v>
      </c>
      <c r="J21" s="59" t="s">
        <v>33</v>
      </c>
      <c r="L21" s="60"/>
      <c r="M21" s="61" t="s">
        <v>80</v>
      </c>
      <c r="O21" s="7"/>
      <c r="W21" s="20"/>
    </row>
    <row r="22" ht="13.5" customHeight="1">
      <c r="A22" s="62"/>
      <c r="B22" s="63" t="s">
        <v>5</v>
      </c>
      <c r="C22" s="65">
        <f t="shared" ref="C22:C31" si="2">H4</f>
        <v>0.062</v>
      </c>
      <c r="D22" s="66">
        <v>13.0</v>
      </c>
      <c r="E22" s="174">
        <v>0.002</v>
      </c>
      <c r="F22" s="68">
        <f t="shared" ref="F22:F32" si="3">I22+$D$17</f>
        <v>0.101</v>
      </c>
      <c r="G22" s="70">
        <f t="shared" ref="G22:G39" si="4">I22+$D$18</f>
        <v>0.061</v>
      </c>
      <c r="H22" s="71">
        <f t="shared" ref="H22:H39" si="5">I22+0.003</f>
        <v>0.034</v>
      </c>
      <c r="I22" s="72">
        <f t="shared" ref="I22:I39" si="6">C22/2</f>
        <v>0.031</v>
      </c>
      <c r="J22" s="73" t="s">
        <v>49</v>
      </c>
      <c r="L22" s="74" t="s">
        <v>49</v>
      </c>
      <c r="M22" s="177">
        <v>0.065</v>
      </c>
      <c r="O22" s="76"/>
      <c r="W22" s="20"/>
    </row>
    <row r="23" ht="13.5" customHeight="1">
      <c r="A23" s="77" t="s">
        <v>50</v>
      </c>
      <c r="B23" s="7" t="s">
        <v>9</v>
      </c>
      <c r="C23" s="76">
        <f t="shared" si="2"/>
        <v>0.066</v>
      </c>
      <c r="D23" s="79">
        <v>12.0</v>
      </c>
      <c r="E23" s="89">
        <v>0.004</v>
      </c>
      <c r="F23" s="81">
        <f t="shared" si="3"/>
        <v>0.103</v>
      </c>
      <c r="G23" s="82">
        <f t="shared" si="4"/>
        <v>0.063</v>
      </c>
      <c r="H23" s="83">
        <f t="shared" si="5"/>
        <v>0.036</v>
      </c>
      <c r="I23" s="85">
        <f t="shared" si="6"/>
        <v>0.033</v>
      </c>
      <c r="J23" s="86" t="s">
        <v>51</v>
      </c>
      <c r="L23" s="87" t="s">
        <v>51</v>
      </c>
      <c r="M23" s="177">
        <v>0.063</v>
      </c>
      <c r="O23" s="76"/>
      <c r="U23" s="88"/>
      <c r="W23" s="4"/>
    </row>
    <row r="24" ht="13.5" customHeight="1">
      <c r="A24" s="62"/>
      <c r="B24" s="63" t="s">
        <v>13</v>
      </c>
      <c r="C24" s="65">
        <f t="shared" si="2"/>
        <v>0.074</v>
      </c>
      <c r="D24" s="66">
        <v>11.0</v>
      </c>
      <c r="E24" s="92">
        <v>0.006</v>
      </c>
      <c r="F24" s="68">
        <f t="shared" si="3"/>
        <v>0.107</v>
      </c>
      <c r="G24" s="70">
        <f t="shared" si="4"/>
        <v>0.067</v>
      </c>
      <c r="H24" s="71">
        <f t="shared" si="5"/>
        <v>0.04</v>
      </c>
      <c r="I24" s="72">
        <f t="shared" si="6"/>
        <v>0.037</v>
      </c>
      <c r="J24" s="73" t="s">
        <v>52</v>
      </c>
      <c r="L24" s="74" t="s">
        <v>52</v>
      </c>
      <c r="M24" s="75">
        <v>0.059000000000000004</v>
      </c>
      <c r="O24" s="76"/>
      <c r="U24" s="91"/>
      <c r="W24" s="4"/>
    </row>
    <row r="25" ht="13.5" customHeight="1">
      <c r="A25" s="48"/>
      <c r="B25" s="7" t="s">
        <v>16</v>
      </c>
      <c r="C25" s="76">
        <f t="shared" si="2"/>
        <v>0.086</v>
      </c>
      <c r="D25" s="79">
        <v>10.0</v>
      </c>
      <c r="E25" s="93">
        <v>0.009</v>
      </c>
      <c r="F25" s="81">
        <f t="shared" si="3"/>
        <v>0.113</v>
      </c>
      <c r="G25" s="82">
        <f t="shared" si="4"/>
        <v>0.073</v>
      </c>
      <c r="H25" s="83">
        <f t="shared" si="5"/>
        <v>0.046</v>
      </c>
      <c r="I25" s="85">
        <f t="shared" si="6"/>
        <v>0.043</v>
      </c>
      <c r="J25" s="86" t="s">
        <v>53</v>
      </c>
      <c r="L25" s="87" t="s">
        <v>53</v>
      </c>
      <c r="M25" s="75">
        <v>0.053000000000000005</v>
      </c>
      <c r="O25" s="76"/>
      <c r="U25" s="91"/>
      <c r="W25" s="20"/>
    </row>
    <row r="26" ht="13.5" customHeight="1">
      <c r="A26" s="62"/>
      <c r="B26" s="63" t="s">
        <v>17</v>
      </c>
      <c r="C26" s="65">
        <f t="shared" si="2"/>
        <v>0.104</v>
      </c>
      <c r="D26" s="66">
        <v>9.0</v>
      </c>
      <c r="E26" s="92">
        <v>0.01</v>
      </c>
      <c r="F26" s="68">
        <f t="shared" si="3"/>
        <v>0.122</v>
      </c>
      <c r="G26" s="70">
        <f t="shared" si="4"/>
        <v>0.082</v>
      </c>
      <c r="H26" s="71">
        <f t="shared" si="5"/>
        <v>0.055</v>
      </c>
      <c r="I26" s="72">
        <f t="shared" si="6"/>
        <v>0.052</v>
      </c>
      <c r="J26" s="73" t="s">
        <v>54</v>
      </c>
      <c r="L26" s="74" t="s">
        <v>54</v>
      </c>
      <c r="M26" s="75">
        <v>0.044000000000000004</v>
      </c>
      <c r="O26" s="76"/>
      <c r="U26" s="88"/>
    </row>
    <row r="27" ht="13.5" customHeight="1">
      <c r="A27" s="48"/>
      <c r="B27" s="7" t="s">
        <v>18</v>
      </c>
      <c r="C27" s="76">
        <f t="shared" si="2"/>
        <v>0.124</v>
      </c>
      <c r="D27" s="97">
        <v>8.0</v>
      </c>
      <c r="E27" s="98">
        <v>0.006</v>
      </c>
      <c r="F27" s="99">
        <f t="shared" si="3"/>
        <v>0.132</v>
      </c>
      <c r="G27" s="100">
        <f t="shared" si="4"/>
        <v>0.092</v>
      </c>
      <c r="H27" s="103">
        <f t="shared" si="5"/>
        <v>0.065</v>
      </c>
      <c r="I27" s="104">
        <f t="shared" si="6"/>
        <v>0.062</v>
      </c>
      <c r="J27" s="105" t="s">
        <v>55</v>
      </c>
      <c r="L27" s="87" t="s">
        <v>55</v>
      </c>
      <c r="M27" s="75">
        <v>0.034</v>
      </c>
      <c r="O27" s="76"/>
      <c r="U27" s="91"/>
    </row>
    <row r="28" ht="13.5" customHeight="1">
      <c r="A28" s="62"/>
      <c r="B28" s="63" t="s">
        <v>19</v>
      </c>
      <c r="C28" s="65">
        <f t="shared" si="2"/>
        <v>0.136</v>
      </c>
      <c r="D28" s="66">
        <v>7.0</v>
      </c>
      <c r="E28" s="92">
        <v>0.007</v>
      </c>
      <c r="F28" s="68">
        <f t="shared" si="3"/>
        <v>0.138</v>
      </c>
      <c r="G28" s="70">
        <f t="shared" si="4"/>
        <v>0.098</v>
      </c>
      <c r="H28" s="71">
        <f t="shared" si="5"/>
        <v>0.071</v>
      </c>
      <c r="I28" s="72">
        <f t="shared" si="6"/>
        <v>0.068</v>
      </c>
      <c r="J28" s="73" t="s">
        <v>56</v>
      </c>
      <c r="L28" s="74" t="s">
        <v>56</v>
      </c>
      <c r="M28" s="75">
        <v>0.027999999999999997</v>
      </c>
      <c r="O28" s="76"/>
      <c r="U28" s="91"/>
    </row>
    <row r="29" ht="13.5" customHeight="1">
      <c r="A29" s="48"/>
      <c r="B29" s="7" t="s">
        <v>20</v>
      </c>
      <c r="C29" s="76">
        <f t="shared" si="2"/>
        <v>0.15</v>
      </c>
      <c r="D29" s="79">
        <v>6.0</v>
      </c>
      <c r="E29" s="93">
        <v>0.005</v>
      </c>
      <c r="F29" s="81">
        <f t="shared" si="3"/>
        <v>0.145</v>
      </c>
      <c r="G29" s="82">
        <f t="shared" si="4"/>
        <v>0.105</v>
      </c>
      <c r="H29" s="83">
        <f t="shared" si="5"/>
        <v>0.078</v>
      </c>
      <c r="I29" s="85">
        <f t="shared" si="6"/>
        <v>0.075</v>
      </c>
      <c r="J29" s="86" t="s">
        <v>57</v>
      </c>
      <c r="L29" s="87" t="s">
        <v>57</v>
      </c>
      <c r="M29" s="75">
        <v>0.021000000000000005</v>
      </c>
      <c r="O29" s="76"/>
      <c r="U29" s="88"/>
    </row>
    <row r="30" ht="13.5" customHeight="1">
      <c r="A30" s="62"/>
      <c r="B30" s="63" t="s">
        <v>21</v>
      </c>
      <c r="C30" s="65">
        <f t="shared" si="2"/>
        <v>0.16</v>
      </c>
      <c r="D30" s="66">
        <v>5.0</v>
      </c>
      <c r="E30" s="92">
        <v>0.009</v>
      </c>
      <c r="F30" s="68">
        <f t="shared" si="3"/>
        <v>0.15</v>
      </c>
      <c r="G30" s="70">
        <f t="shared" si="4"/>
        <v>0.11</v>
      </c>
      <c r="H30" s="71">
        <f t="shared" si="5"/>
        <v>0.083</v>
      </c>
      <c r="I30" s="72">
        <f t="shared" si="6"/>
        <v>0.08</v>
      </c>
      <c r="J30" s="73" t="s">
        <v>58</v>
      </c>
      <c r="L30" s="74" t="s">
        <v>58</v>
      </c>
      <c r="M30" s="75">
        <v>0.016</v>
      </c>
      <c r="O30" s="76"/>
      <c r="U30" s="91"/>
    </row>
    <row r="31" ht="13.5" customHeight="1">
      <c r="A31" s="94"/>
      <c r="B31" s="7" t="s">
        <v>22</v>
      </c>
      <c r="C31" s="76">
        <f t="shared" si="2"/>
        <v>0.178</v>
      </c>
      <c r="D31" s="79">
        <v>4.0</v>
      </c>
      <c r="E31" s="93">
        <v>0.007</v>
      </c>
      <c r="F31" s="81">
        <f t="shared" si="3"/>
        <v>0.159</v>
      </c>
      <c r="G31" s="82">
        <f t="shared" si="4"/>
        <v>0.119</v>
      </c>
      <c r="H31" s="83">
        <f t="shared" si="5"/>
        <v>0.092</v>
      </c>
      <c r="I31" s="85">
        <f t="shared" si="6"/>
        <v>0.089</v>
      </c>
      <c r="J31" s="86" t="s">
        <v>59</v>
      </c>
      <c r="L31" s="87" t="s">
        <v>59</v>
      </c>
      <c r="M31" s="75">
        <v>0.007000000000000006</v>
      </c>
      <c r="N31" s="95"/>
      <c r="O31" s="76"/>
    </row>
    <row r="32" ht="13.5" customHeight="1">
      <c r="A32" s="96"/>
      <c r="B32" s="63" t="s">
        <v>60</v>
      </c>
      <c r="C32" s="65">
        <f>MROUND(((C36-C31)/4)+C31,0.001)</f>
        <v>0.182</v>
      </c>
      <c r="D32" s="66"/>
      <c r="E32" s="90" t="s">
        <v>61</v>
      </c>
      <c r="F32" s="68">
        <f t="shared" si="3"/>
        <v>0.161</v>
      </c>
      <c r="G32" s="70">
        <f t="shared" si="4"/>
        <v>0.121</v>
      </c>
      <c r="H32" s="71">
        <f t="shared" si="5"/>
        <v>0.094</v>
      </c>
      <c r="I32" s="72">
        <f t="shared" si="6"/>
        <v>0.091</v>
      </c>
      <c r="J32" s="101"/>
      <c r="L32" s="74" t="s">
        <v>65</v>
      </c>
      <c r="M32" s="75">
        <v>0.0</v>
      </c>
      <c r="O32" s="76"/>
      <c r="U32" s="91"/>
    </row>
    <row r="33" ht="13.5" customHeight="1">
      <c r="A33" s="77"/>
      <c r="B33" s="7" t="s">
        <v>62</v>
      </c>
      <c r="C33" s="76">
        <f>MROUND(((C36-C31)/4)+C32,0.001)</f>
        <v>0.186</v>
      </c>
      <c r="D33" s="79"/>
      <c r="E33" s="80" t="s">
        <v>61</v>
      </c>
      <c r="F33" s="81">
        <f t="shared" ref="F33:F35" si="7">I33+0.07</f>
        <v>0.163</v>
      </c>
      <c r="G33" s="82">
        <f t="shared" si="4"/>
        <v>0.123</v>
      </c>
      <c r="H33" s="83">
        <f t="shared" si="5"/>
        <v>0.096</v>
      </c>
      <c r="I33" s="85">
        <f t="shared" si="6"/>
        <v>0.093</v>
      </c>
      <c r="J33" s="106"/>
      <c r="L33" s="87" t="s">
        <v>66</v>
      </c>
      <c r="M33" s="75">
        <v>0.0</v>
      </c>
      <c r="O33" s="107"/>
      <c r="U33" s="88"/>
    </row>
    <row r="34" ht="13.5" customHeight="1">
      <c r="A34" s="96"/>
      <c r="B34" s="63" t="s">
        <v>63</v>
      </c>
      <c r="C34" s="65">
        <f>MROUND(((C36-C31)/4)+C33,0.001)</f>
        <v>0.19</v>
      </c>
      <c r="D34" s="66"/>
      <c r="E34" s="90" t="s">
        <v>61</v>
      </c>
      <c r="F34" s="68">
        <f t="shared" si="7"/>
        <v>0.165</v>
      </c>
      <c r="G34" s="70">
        <f t="shared" si="4"/>
        <v>0.125</v>
      </c>
      <c r="H34" s="71">
        <f t="shared" si="5"/>
        <v>0.098</v>
      </c>
      <c r="I34" s="72">
        <f t="shared" si="6"/>
        <v>0.095</v>
      </c>
      <c r="J34" s="101"/>
      <c r="L34" s="74" t="s">
        <v>67</v>
      </c>
      <c r="M34" s="75">
        <v>0.0</v>
      </c>
      <c r="O34" s="76"/>
      <c r="U34" s="7"/>
    </row>
    <row r="35" ht="13.5" customHeight="1">
      <c r="A35" s="94"/>
      <c r="B35" s="7" t="s">
        <v>64</v>
      </c>
      <c r="C35" s="78">
        <v>0.191</v>
      </c>
      <c r="D35" s="79"/>
      <c r="E35" s="80" t="s">
        <v>61</v>
      </c>
      <c r="F35" s="81">
        <f t="shared" si="7"/>
        <v>0.1655</v>
      </c>
      <c r="G35" s="82">
        <f t="shared" si="4"/>
        <v>0.1255</v>
      </c>
      <c r="H35" s="83">
        <f t="shared" si="5"/>
        <v>0.0985</v>
      </c>
      <c r="I35" s="85">
        <f t="shared" si="6"/>
        <v>0.0955</v>
      </c>
      <c r="J35" s="106"/>
      <c r="L35" s="124" t="s">
        <v>70</v>
      </c>
      <c r="M35" s="125">
        <v>0.0</v>
      </c>
      <c r="O35" s="76"/>
    </row>
    <row r="36" ht="13.5" customHeight="1">
      <c r="A36" s="181" t="s">
        <v>69</v>
      </c>
      <c r="B36" s="63" t="s">
        <v>23</v>
      </c>
      <c r="C36" s="65">
        <f t="shared" ref="C36:C39" si="8">H14</f>
        <v>0.192</v>
      </c>
      <c r="D36" s="66">
        <v>3.0</v>
      </c>
      <c r="E36" s="90">
        <f t="shared" ref="E36:E38" si="9">(I37-I36)+E37</f>
        <v>0</v>
      </c>
      <c r="F36" s="68">
        <f t="shared" ref="F36:F37" si="10">I36+$D$17</f>
        <v>0.166</v>
      </c>
      <c r="G36" s="70">
        <f t="shared" si="4"/>
        <v>0.126</v>
      </c>
      <c r="H36" s="71">
        <f t="shared" si="5"/>
        <v>0.099</v>
      </c>
      <c r="I36" s="72">
        <f t="shared" si="6"/>
        <v>0.096</v>
      </c>
      <c r="J36" s="73" t="s">
        <v>65</v>
      </c>
      <c r="N36" s="95"/>
      <c r="O36" s="76"/>
    </row>
    <row r="37" ht="13.5" customHeight="1">
      <c r="A37" s="94"/>
      <c r="B37" s="7" t="s">
        <v>24</v>
      </c>
      <c r="C37" s="76">
        <f t="shared" si="8"/>
        <v>0.192</v>
      </c>
      <c r="D37" s="79">
        <v>2.0</v>
      </c>
      <c r="E37" s="80">
        <f t="shared" si="9"/>
        <v>0</v>
      </c>
      <c r="F37" s="81">
        <f t="shared" si="10"/>
        <v>0.166</v>
      </c>
      <c r="G37" s="82">
        <f t="shared" si="4"/>
        <v>0.126</v>
      </c>
      <c r="H37" s="83">
        <f t="shared" si="5"/>
        <v>0.099</v>
      </c>
      <c r="I37" s="85">
        <f t="shared" si="6"/>
        <v>0.096</v>
      </c>
      <c r="J37" s="86" t="s">
        <v>66</v>
      </c>
      <c r="O37" s="76"/>
    </row>
    <row r="38" ht="13.5" customHeight="1">
      <c r="A38" s="62"/>
      <c r="B38" s="108" t="s">
        <v>25</v>
      </c>
      <c r="C38" s="109">
        <f t="shared" si="8"/>
        <v>0.192</v>
      </c>
      <c r="D38" s="66">
        <v>1.0</v>
      </c>
      <c r="E38" s="90">
        <f t="shared" si="9"/>
        <v>0</v>
      </c>
      <c r="F38" s="68">
        <f>F39</f>
        <v>0.166</v>
      </c>
      <c r="G38" s="70">
        <f t="shared" si="4"/>
        <v>0.126</v>
      </c>
      <c r="H38" s="71">
        <f t="shared" si="5"/>
        <v>0.099</v>
      </c>
      <c r="I38" s="72">
        <f t="shared" si="6"/>
        <v>0.096</v>
      </c>
      <c r="J38" s="73" t="s">
        <v>67</v>
      </c>
      <c r="O38" s="76"/>
    </row>
    <row r="39" ht="13.5" customHeight="1">
      <c r="A39" s="112"/>
      <c r="B39" s="113" t="s">
        <v>68</v>
      </c>
      <c r="C39" s="114">
        <f t="shared" si="8"/>
        <v>0.192</v>
      </c>
      <c r="D39" s="115">
        <v>0.0</v>
      </c>
      <c r="E39" s="116">
        <v>0.0</v>
      </c>
      <c r="F39" s="117">
        <f>F37</f>
        <v>0.166</v>
      </c>
      <c r="G39" s="119">
        <f t="shared" si="4"/>
        <v>0.126</v>
      </c>
      <c r="H39" s="121">
        <f t="shared" si="5"/>
        <v>0.099</v>
      </c>
      <c r="I39" s="122">
        <f t="shared" si="6"/>
        <v>0.096</v>
      </c>
      <c r="J39" s="123" t="s">
        <v>70</v>
      </c>
      <c r="O39" s="76"/>
    </row>
    <row r="40" ht="12.75" customHeight="1">
      <c r="B40" s="7"/>
      <c r="C40" s="76"/>
      <c r="D40" s="76"/>
      <c r="E40" s="76"/>
      <c r="F40" s="76"/>
      <c r="G40" s="76"/>
      <c r="H40" s="76"/>
      <c r="I40" s="76"/>
      <c r="J40" s="91"/>
      <c r="K40" s="49"/>
      <c r="L40" s="7"/>
      <c r="M40" s="126"/>
      <c r="N40" s="126"/>
      <c r="O40" s="126"/>
      <c r="P40" s="126"/>
      <c r="Q40" s="126"/>
      <c r="R40" s="126"/>
      <c r="S40" s="126"/>
      <c r="T40" s="91"/>
    </row>
    <row r="41" ht="12.75" customHeight="1">
      <c r="A41" s="49"/>
      <c r="B41" s="7"/>
      <c r="C41" s="76"/>
      <c r="D41" s="76"/>
      <c r="E41" s="76"/>
      <c r="F41" s="76"/>
      <c r="G41" s="76"/>
      <c r="H41" s="76"/>
      <c r="I41" s="76"/>
      <c r="J41" s="91"/>
      <c r="K41" s="49"/>
      <c r="L41" s="7"/>
      <c r="M41" s="126"/>
      <c r="N41" s="126"/>
      <c r="O41" s="126"/>
      <c r="P41" s="126"/>
      <c r="Q41" s="126"/>
      <c r="R41" s="126"/>
      <c r="S41" s="126"/>
      <c r="T41" s="91"/>
    </row>
    <row r="42" ht="12.75" customHeight="1">
      <c r="A42" s="49"/>
      <c r="B42" s="7"/>
      <c r="C42" s="76"/>
      <c r="D42" s="76"/>
      <c r="E42" s="76"/>
      <c r="F42" s="76"/>
      <c r="G42" s="76"/>
      <c r="H42" s="76"/>
      <c r="I42" s="76"/>
      <c r="J42" s="91"/>
      <c r="K42" s="49"/>
      <c r="L42" s="7"/>
      <c r="M42" s="126"/>
      <c r="N42" s="126"/>
      <c r="O42" s="126"/>
      <c r="P42" s="126"/>
      <c r="Q42" s="126"/>
      <c r="R42" s="126"/>
      <c r="S42" s="126"/>
      <c r="T42" s="91"/>
    </row>
    <row r="43" ht="12.75" customHeight="1">
      <c r="B43" s="7"/>
      <c r="C43" s="76"/>
      <c r="D43" s="76"/>
      <c r="E43" s="76"/>
      <c r="F43" s="76"/>
      <c r="G43" s="76"/>
      <c r="H43" s="76"/>
      <c r="I43" s="76"/>
      <c r="J43" s="91"/>
      <c r="K43" s="49"/>
      <c r="L43" s="7"/>
      <c r="M43" s="126"/>
      <c r="N43" s="126"/>
      <c r="O43" s="126"/>
      <c r="P43" s="126"/>
      <c r="Q43" s="126"/>
      <c r="R43" s="126"/>
      <c r="S43" s="126"/>
      <c r="T43" s="91"/>
    </row>
    <row r="44" ht="12.75" customHeight="1">
      <c r="B44" s="7"/>
      <c r="C44" s="76"/>
      <c r="D44" s="76"/>
      <c r="E44" s="76"/>
      <c r="F44" s="76"/>
      <c r="G44" s="151" t="s">
        <v>71</v>
      </c>
      <c r="H44" s="153"/>
      <c r="I44" s="155"/>
      <c r="J44" s="91"/>
      <c r="K44" s="49"/>
      <c r="L44" s="7"/>
      <c r="M44" s="126"/>
      <c r="N44" s="126"/>
      <c r="O44" s="126"/>
      <c r="P44" s="126"/>
      <c r="Q44" s="126"/>
      <c r="R44" s="126"/>
      <c r="S44" s="126"/>
      <c r="T44" s="91"/>
    </row>
    <row r="45">
      <c r="D45" s="127"/>
      <c r="E45" s="127"/>
      <c r="F45" s="127"/>
      <c r="G45" s="127"/>
      <c r="H45" s="128"/>
      <c r="L45" s="35" t="s">
        <v>30</v>
      </c>
    </row>
    <row r="46" ht="12.75" customHeight="1">
      <c r="A46" s="129"/>
      <c r="B46" s="34"/>
      <c r="C46" s="36" t="s">
        <v>31</v>
      </c>
      <c r="D46" s="36" t="s">
        <v>33</v>
      </c>
      <c r="E46" s="37" t="s">
        <v>35</v>
      </c>
      <c r="F46" s="45" t="s">
        <v>41</v>
      </c>
      <c r="G46" s="47" t="s">
        <v>42</v>
      </c>
      <c r="H46" s="40" t="s">
        <v>38</v>
      </c>
      <c r="I46" s="41" t="s">
        <v>39</v>
      </c>
      <c r="J46" s="130"/>
      <c r="L46" s="43" t="s">
        <v>33</v>
      </c>
      <c r="M46" s="44" t="s">
        <v>40</v>
      </c>
    </row>
    <row r="47" ht="12.75" customHeight="1">
      <c r="A47" s="131"/>
      <c r="B47" s="7" t="s">
        <v>3</v>
      </c>
      <c r="C47" s="49" t="s">
        <v>43</v>
      </c>
      <c r="D47" s="7" t="s">
        <v>44</v>
      </c>
      <c r="E47" s="52"/>
      <c r="F47" s="53" t="s">
        <v>46</v>
      </c>
      <c r="G47" s="54" t="s">
        <v>46</v>
      </c>
      <c r="H47" s="56" t="s">
        <v>47</v>
      </c>
      <c r="I47" s="58" t="s">
        <v>37</v>
      </c>
      <c r="J47" s="59" t="s">
        <v>33</v>
      </c>
      <c r="L47" s="60"/>
      <c r="M47" s="61" t="s">
        <v>80</v>
      </c>
      <c r="N47" s="64"/>
    </row>
    <row r="48" ht="12.75" customHeight="1">
      <c r="A48" s="62"/>
      <c r="B48" s="63" t="s">
        <v>5</v>
      </c>
      <c r="C48" s="135">
        <f t="shared" ref="C48:C59" si="11">J4</f>
        <v>0.19</v>
      </c>
      <c r="D48" s="133">
        <v>13.0</v>
      </c>
      <c r="E48" s="141">
        <v>0.004</v>
      </c>
      <c r="F48" s="136">
        <f t="shared" ref="F48:F59" si="12">I48+$D$17</f>
        <v>0.165</v>
      </c>
      <c r="G48" s="70">
        <f t="shared" ref="G48:G59" si="13">I48+$D$18</f>
        <v>0.125</v>
      </c>
      <c r="H48" s="71">
        <f t="shared" ref="H48:H61" si="14">I48+0.003</f>
        <v>0.098</v>
      </c>
      <c r="I48" s="72">
        <f t="shared" ref="I48:I61" si="15">C48/2</f>
        <v>0.095</v>
      </c>
      <c r="J48" s="73" t="s">
        <v>49</v>
      </c>
      <c r="L48" s="74" t="s">
        <v>49</v>
      </c>
      <c r="M48" s="140">
        <f>M49+E48</f>
        <v>0.067</v>
      </c>
      <c r="N48" s="166"/>
    </row>
    <row r="49" ht="12.75" customHeight="1">
      <c r="A49" s="77" t="s">
        <v>69</v>
      </c>
      <c r="B49" s="7" t="s">
        <v>9</v>
      </c>
      <c r="C49" s="20">
        <f t="shared" si="11"/>
        <v>0.198</v>
      </c>
      <c r="D49" s="79">
        <v>12.0</v>
      </c>
      <c r="E49" s="141">
        <v>0.006</v>
      </c>
      <c r="F49" s="139">
        <f t="shared" si="12"/>
        <v>0.169</v>
      </c>
      <c r="G49" s="82">
        <f t="shared" si="13"/>
        <v>0.129</v>
      </c>
      <c r="H49" s="83">
        <f t="shared" si="14"/>
        <v>0.102</v>
      </c>
      <c r="I49" s="85">
        <f t="shared" si="15"/>
        <v>0.099</v>
      </c>
      <c r="J49" s="86" t="s">
        <v>51</v>
      </c>
      <c r="L49" s="87" t="s">
        <v>51</v>
      </c>
      <c r="M49" s="137">
        <v>0.063</v>
      </c>
      <c r="N49" s="166"/>
    </row>
    <row r="50" ht="12.75" customHeight="1">
      <c r="A50" s="62"/>
      <c r="B50" s="63" t="s">
        <v>13</v>
      </c>
      <c r="C50" s="135">
        <f t="shared" si="11"/>
        <v>0.21</v>
      </c>
      <c r="D50" s="133">
        <v>11.0</v>
      </c>
      <c r="E50" s="141">
        <v>0.007</v>
      </c>
      <c r="F50" s="136">
        <f t="shared" si="12"/>
        <v>0.175</v>
      </c>
      <c r="G50" s="70">
        <f t="shared" si="13"/>
        <v>0.135</v>
      </c>
      <c r="H50" s="71">
        <f t="shared" si="14"/>
        <v>0.108</v>
      </c>
      <c r="I50" s="72">
        <f t="shared" si="15"/>
        <v>0.105</v>
      </c>
      <c r="J50" s="73" t="s">
        <v>52</v>
      </c>
      <c r="L50" s="74" t="s">
        <v>52</v>
      </c>
      <c r="M50" s="137">
        <v>0.05700000000000001</v>
      </c>
      <c r="N50" s="166"/>
    </row>
    <row r="51" ht="12.75" customHeight="1">
      <c r="A51" s="48"/>
      <c r="B51" s="7" t="s">
        <v>16</v>
      </c>
      <c r="C51" s="20">
        <f t="shared" si="11"/>
        <v>0.224</v>
      </c>
      <c r="D51" s="79">
        <v>10.0</v>
      </c>
      <c r="E51" s="141">
        <v>0.006</v>
      </c>
      <c r="F51" s="139">
        <f t="shared" si="12"/>
        <v>0.182</v>
      </c>
      <c r="G51" s="82">
        <f t="shared" si="13"/>
        <v>0.142</v>
      </c>
      <c r="H51" s="83">
        <f t="shared" si="14"/>
        <v>0.115</v>
      </c>
      <c r="I51" s="85">
        <f t="shared" si="15"/>
        <v>0.112</v>
      </c>
      <c r="J51" s="86" t="s">
        <v>53</v>
      </c>
      <c r="L51" s="87" t="s">
        <v>53</v>
      </c>
      <c r="M51" s="137">
        <v>0.05</v>
      </c>
      <c r="N51" s="166"/>
    </row>
    <row r="52" ht="12.75" customHeight="1">
      <c r="A52" s="62"/>
      <c r="B52" s="63" t="s">
        <v>17</v>
      </c>
      <c r="C52" s="135">
        <f t="shared" si="11"/>
        <v>0.236</v>
      </c>
      <c r="D52" s="133">
        <v>9.0</v>
      </c>
      <c r="E52" s="141">
        <v>0.007</v>
      </c>
      <c r="F52" s="136">
        <f t="shared" si="12"/>
        <v>0.188</v>
      </c>
      <c r="G52" s="70">
        <f t="shared" si="13"/>
        <v>0.148</v>
      </c>
      <c r="H52" s="71">
        <f t="shared" si="14"/>
        <v>0.121</v>
      </c>
      <c r="I52" s="72">
        <f t="shared" si="15"/>
        <v>0.118</v>
      </c>
      <c r="J52" s="73" t="s">
        <v>54</v>
      </c>
      <c r="L52" s="74" t="s">
        <v>54</v>
      </c>
      <c r="M52" s="137">
        <v>0.04400000000000001</v>
      </c>
      <c r="N52" s="166"/>
    </row>
    <row r="53" ht="12.75" customHeight="1">
      <c r="A53" s="48"/>
      <c r="B53" s="7" t="s">
        <v>18</v>
      </c>
      <c r="C53" s="20">
        <f t="shared" si="11"/>
        <v>0.25</v>
      </c>
      <c r="D53" s="97">
        <v>8.0</v>
      </c>
      <c r="E53" s="164">
        <v>0.008</v>
      </c>
      <c r="F53" s="165">
        <f t="shared" si="12"/>
        <v>0.195</v>
      </c>
      <c r="G53" s="100">
        <f t="shared" si="13"/>
        <v>0.155</v>
      </c>
      <c r="H53" s="103">
        <f t="shared" si="14"/>
        <v>0.128</v>
      </c>
      <c r="I53" s="104">
        <f t="shared" si="15"/>
        <v>0.125</v>
      </c>
      <c r="J53" s="105" t="s">
        <v>55</v>
      </c>
      <c r="L53" s="87" t="s">
        <v>55</v>
      </c>
      <c r="M53" s="137">
        <v>0.037000000000000005</v>
      </c>
      <c r="N53" s="166"/>
    </row>
    <row r="54" ht="12.75" customHeight="1">
      <c r="A54" s="62"/>
      <c r="B54" s="63" t="s">
        <v>19</v>
      </c>
      <c r="C54" s="135">
        <f t="shared" si="11"/>
        <v>0.266</v>
      </c>
      <c r="D54" s="133">
        <v>7.0</v>
      </c>
      <c r="E54" s="141">
        <v>0.007</v>
      </c>
      <c r="F54" s="136">
        <f t="shared" si="12"/>
        <v>0.203</v>
      </c>
      <c r="G54" s="70">
        <f t="shared" si="13"/>
        <v>0.163</v>
      </c>
      <c r="H54" s="71">
        <f t="shared" si="14"/>
        <v>0.136</v>
      </c>
      <c r="I54" s="72">
        <f t="shared" si="15"/>
        <v>0.133</v>
      </c>
      <c r="J54" s="73" t="s">
        <v>56</v>
      </c>
      <c r="L54" s="74" t="s">
        <v>56</v>
      </c>
      <c r="M54" s="137">
        <v>0.028999999999999998</v>
      </c>
      <c r="N54" s="166"/>
    </row>
    <row r="55" ht="12.75" customHeight="1">
      <c r="A55" s="48"/>
      <c r="B55" s="7" t="s">
        <v>20</v>
      </c>
      <c r="C55" s="20">
        <f t="shared" si="11"/>
        <v>0.28</v>
      </c>
      <c r="D55" s="79">
        <v>6.0</v>
      </c>
      <c r="E55" s="141">
        <v>0.007</v>
      </c>
      <c r="F55" s="139">
        <f t="shared" si="12"/>
        <v>0.21</v>
      </c>
      <c r="G55" s="82">
        <f t="shared" si="13"/>
        <v>0.17</v>
      </c>
      <c r="H55" s="83">
        <f t="shared" si="14"/>
        <v>0.143</v>
      </c>
      <c r="I55" s="85">
        <f t="shared" si="15"/>
        <v>0.14</v>
      </c>
      <c r="J55" s="86" t="s">
        <v>57</v>
      </c>
      <c r="L55" s="87" t="s">
        <v>57</v>
      </c>
      <c r="M55" s="137">
        <v>0.021999999999999992</v>
      </c>
      <c r="N55" s="166"/>
    </row>
    <row r="56" ht="12.75" customHeight="1">
      <c r="A56" s="62"/>
      <c r="B56" s="63" t="s">
        <v>21</v>
      </c>
      <c r="C56" s="135">
        <f t="shared" si="11"/>
        <v>0.294</v>
      </c>
      <c r="D56" s="133">
        <v>5.0</v>
      </c>
      <c r="E56" s="141">
        <v>0.008</v>
      </c>
      <c r="F56" s="136">
        <f t="shared" si="12"/>
        <v>0.217</v>
      </c>
      <c r="G56" s="70">
        <f t="shared" si="13"/>
        <v>0.177</v>
      </c>
      <c r="H56" s="71">
        <f t="shared" si="14"/>
        <v>0.15</v>
      </c>
      <c r="I56" s="72">
        <f t="shared" si="15"/>
        <v>0.147</v>
      </c>
      <c r="J56" s="73" t="s">
        <v>58</v>
      </c>
      <c r="L56" s="74" t="s">
        <v>58</v>
      </c>
      <c r="M56" s="137">
        <v>0.015000000000000013</v>
      </c>
      <c r="N56" s="166"/>
    </row>
    <row r="57" ht="12.75" customHeight="1">
      <c r="A57" s="48"/>
      <c r="B57" s="7" t="s">
        <v>22</v>
      </c>
      <c r="C57" s="20">
        <f t="shared" si="11"/>
        <v>0.31</v>
      </c>
      <c r="D57" s="79">
        <v>4.0</v>
      </c>
      <c r="E57" s="141">
        <v>0.007</v>
      </c>
      <c r="F57" s="139">
        <f t="shared" si="12"/>
        <v>0.225</v>
      </c>
      <c r="G57" s="82">
        <f t="shared" si="13"/>
        <v>0.185</v>
      </c>
      <c r="H57" s="83">
        <f t="shared" si="14"/>
        <v>0.158</v>
      </c>
      <c r="I57" s="85">
        <f t="shared" si="15"/>
        <v>0.155</v>
      </c>
      <c r="J57" s="86" t="s">
        <v>59</v>
      </c>
      <c r="L57" s="87" t="s">
        <v>59</v>
      </c>
      <c r="M57" s="140">
        <f>M58+E57</f>
        <v>0.007</v>
      </c>
      <c r="N57" s="166"/>
    </row>
    <row r="58" ht="12.75" customHeight="1">
      <c r="A58" s="62"/>
      <c r="B58" s="63" t="s">
        <v>23</v>
      </c>
      <c r="C58" s="135">
        <f t="shared" si="11"/>
        <v>0.324</v>
      </c>
      <c r="D58" s="133">
        <v>3.0</v>
      </c>
      <c r="E58" s="141">
        <v>0.0</v>
      </c>
      <c r="F58" s="136">
        <f t="shared" si="12"/>
        <v>0.232</v>
      </c>
      <c r="G58" s="70">
        <f t="shared" si="13"/>
        <v>0.192</v>
      </c>
      <c r="H58" s="71">
        <f t="shared" si="14"/>
        <v>0.165</v>
      </c>
      <c r="I58" s="72">
        <f t="shared" si="15"/>
        <v>0.162</v>
      </c>
      <c r="J58" s="73" t="s">
        <v>65</v>
      </c>
      <c r="L58" s="74" t="s">
        <v>65</v>
      </c>
      <c r="M58" s="137">
        <v>0.0</v>
      </c>
      <c r="N58" s="166"/>
    </row>
    <row r="59" ht="12.75" customHeight="1">
      <c r="A59" s="48"/>
      <c r="B59" s="7" t="s">
        <v>24</v>
      </c>
      <c r="C59" s="20">
        <f t="shared" si="11"/>
        <v>0.324</v>
      </c>
      <c r="D59" s="79">
        <v>2.0</v>
      </c>
      <c r="E59" s="134">
        <v>0.0</v>
      </c>
      <c r="F59" s="139">
        <f t="shared" si="12"/>
        <v>0.232</v>
      </c>
      <c r="G59" s="82">
        <f t="shared" si="13"/>
        <v>0.192</v>
      </c>
      <c r="H59" s="83">
        <f t="shared" si="14"/>
        <v>0.165</v>
      </c>
      <c r="I59" s="85">
        <f t="shared" si="15"/>
        <v>0.162</v>
      </c>
      <c r="J59" s="86" t="s">
        <v>66</v>
      </c>
      <c r="L59" s="87" t="s">
        <v>66</v>
      </c>
      <c r="M59" s="137">
        <v>0.0</v>
      </c>
      <c r="N59" s="166"/>
    </row>
    <row r="60" ht="12.75" customHeight="1">
      <c r="A60" s="62"/>
      <c r="B60" s="63"/>
      <c r="C60" s="154">
        <f>J15</f>
        <v>0.324</v>
      </c>
      <c r="D60" s="133">
        <v>1.0</v>
      </c>
      <c r="E60" s="134">
        <f>(I61-I60)+E61</f>
        <v>0</v>
      </c>
      <c r="F60" s="136">
        <f>F61</f>
        <v>0.232</v>
      </c>
      <c r="G60" s="70">
        <f t="shared" ref="G60:G61" si="16">G59</f>
        <v>0.192</v>
      </c>
      <c r="H60" s="71">
        <f t="shared" si="14"/>
        <v>0.165</v>
      </c>
      <c r="I60" s="72">
        <f t="shared" si="15"/>
        <v>0.162</v>
      </c>
      <c r="J60" s="73" t="s">
        <v>67</v>
      </c>
      <c r="L60" s="74" t="s">
        <v>67</v>
      </c>
      <c r="M60" s="137">
        <v>0.0</v>
      </c>
      <c r="N60" s="166"/>
    </row>
    <row r="61" ht="13.5" customHeight="1">
      <c r="A61" s="112"/>
      <c r="B61" s="142"/>
      <c r="C61" s="143">
        <f>J15</f>
        <v>0.324</v>
      </c>
      <c r="D61" s="115">
        <v>0.0</v>
      </c>
      <c r="E61" s="144">
        <v>0.0</v>
      </c>
      <c r="F61" s="145">
        <f>F59</f>
        <v>0.232</v>
      </c>
      <c r="G61" s="119">
        <f t="shared" si="16"/>
        <v>0.192</v>
      </c>
      <c r="H61" s="121">
        <f t="shared" si="14"/>
        <v>0.165</v>
      </c>
      <c r="I61" s="146">
        <f t="shared" si="15"/>
        <v>0.162</v>
      </c>
      <c r="J61" s="123" t="s">
        <v>70</v>
      </c>
      <c r="L61" s="124" t="s">
        <v>70</v>
      </c>
      <c r="M61" s="147">
        <v>0.0</v>
      </c>
      <c r="N61" s="166"/>
    </row>
    <row r="62" ht="12.75" customHeight="1">
      <c r="A62" s="95"/>
      <c r="B62" s="88"/>
      <c r="C62" s="126"/>
      <c r="D62" s="148"/>
      <c r="E62" s="149"/>
      <c r="F62" s="79"/>
      <c r="G62" s="150"/>
      <c r="H62" s="95"/>
      <c r="I62" s="152"/>
      <c r="J62" s="91"/>
    </row>
    <row r="63" ht="12.75" customHeight="1">
      <c r="A63" s="95"/>
      <c r="B63" s="88"/>
      <c r="C63" s="126"/>
      <c r="D63" s="148"/>
      <c r="E63" s="149"/>
      <c r="F63" s="79"/>
      <c r="G63" s="150"/>
      <c r="H63" s="126"/>
      <c r="I63" s="152"/>
      <c r="J63" s="91"/>
    </row>
    <row r="64" ht="12.75" customHeight="1">
      <c r="A64" s="49"/>
      <c r="B64" s="7"/>
      <c r="C64" s="126"/>
      <c r="D64" s="148"/>
      <c r="E64" s="149"/>
      <c r="F64" s="79"/>
      <c r="G64" s="150"/>
      <c r="H64" s="126"/>
      <c r="I64" s="152"/>
      <c r="J64" s="91"/>
    </row>
    <row r="65" ht="12.75" customHeight="1">
      <c r="A65" s="49"/>
      <c r="B65" s="7"/>
      <c r="C65" s="126"/>
      <c r="D65" s="148"/>
      <c r="E65" s="149"/>
      <c r="F65" s="79"/>
      <c r="G65" s="150"/>
      <c r="H65" s="126"/>
      <c r="I65" s="152"/>
      <c r="J65" s="91"/>
      <c r="M65" s="49"/>
      <c r="T65" s="156"/>
    </row>
    <row r="66" ht="12.75" customHeight="1">
      <c r="A66" s="5"/>
      <c r="B66" s="156"/>
      <c r="D66" s="49"/>
      <c r="E66" s="49"/>
      <c r="F66" s="49"/>
      <c r="G66" s="49"/>
      <c r="J66" s="157"/>
      <c r="M66" s="49"/>
      <c r="T66" s="157"/>
    </row>
    <row r="67" ht="12.75" customHeight="1">
      <c r="A67" s="5"/>
      <c r="B67" s="158"/>
      <c r="M67" s="49"/>
      <c r="T67" s="157"/>
    </row>
    <row r="68" ht="12.75" customHeight="1">
      <c r="A68" s="5"/>
      <c r="B68" s="159"/>
      <c r="D68" s="49"/>
      <c r="E68" s="49"/>
      <c r="F68" s="49"/>
      <c r="G68" s="49"/>
      <c r="K68" s="156"/>
      <c r="M68" s="49"/>
      <c r="T68" s="157"/>
    </row>
    <row r="69" ht="12.75" customHeight="1">
      <c r="A69" s="5"/>
      <c r="B69" s="157"/>
      <c r="D69" s="49"/>
      <c r="E69" s="49"/>
      <c r="F69" s="49"/>
      <c r="G69" s="49"/>
      <c r="K69" s="156"/>
    </row>
    <row r="70" ht="12.75" customHeight="1">
      <c r="A70" s="5"/>
      <c r="B70" s="160"/>
      <c r="M70" s="91"/>
      <c r="N70" s="5"/>
      <c r="O70" s="5"/>
      <c r="P70" s="5"/>
      <c r="Q70" s="5"/>
      <c r="R70" s="91"/>
      <c r="S70" s="46"/>
    </row>
    <row r="71" ht="12.75" customHeight="1">
      <c r="A71" s="91"/>
      <c r="B71" s="7"/>
      <c r="C71" s="46"/>
      <c r="D71" s="46"/>
      <c r="E71" s="46"/>
      <c r="F71" s="46"/>
      <c r="G71" s="46"/>
      <c r="H71" s="91"/>
      <c r="I71" s="91"/>
      <c r="J71" s="91"/>
      <c r="K71" s="91"/>
      <c r="M71" s="91"/>
      <c r="N71" s="49"/>
      <c r="O71" s="49"/>
      <c r="P71" s="49"/>
      <c r="Q71" s="49"/>
      <c r="R71" s="46"/>
      <c r="T71" s="46"/>
      <c r="U71" s="7"/>
    </row>
    <row r="72" ht="12.75" customHeight="1">
      <c r="A72" s="7"/>
      <c r="B72" s="128"/>
      <c r="D72" s="7"/>
      <c r="E72" s="7"/>
      <c r="F72" s="7"/>
      <c r="G72" s="7"/>
      <c r="H72" s="7"/>
      <c r="I72" s="7"/>
      <c r="J72" s="7"/>
      <c r="K72" s="7"/>
      <c r="M72" s="7"/>
      <c r="R72" s="7"/>
      <c r="S72" s="7"/>
      <c r="T72" s="7"/>
      <c r="U72" s="7"/>
    </row>
    <row r="73" ht="12.75" customHeight="1">
      <c r="A73" s="7"/>
      <c r="B73" s="10"/>
      <c r="C73" s="76"/>
      <c r="D73" s="162"/>
      <c r="E73" s="162"/>
      <c r="F73" s="162"/>
      <c r="G73" s="162"/>
      <c r="H73" s="162"/>
      <c r="I73" s="162"/>
      <c r="J73" s="91"/>
      <c r="K73" s="91"/>
      <c r="M73" s="7"/>
      <c r="N73" s="10"/>
      <c r="O73" s="10"/>
      <c r="P73" s="10"/>
      <c r="Q73" s="10"/>
      <c r="R73" s="162"/>
      <c r="S73" s="162"/>
      <c r="T73" s="162"/>
      <c r="U73" s="91"/>
    </row>
    <row r="74" ht="12.75" customHeight="1">
      <c r="A74" s="7"/>
      <c r="B74" s="10"/>
      <c r="C74" s="76"/>
      <c r="D74" s="162"/>
      <c r="E74" s="162"/>
      <c r="F74" s="162"/>
      <c r="G74" s="162"/>
      <c r="H74" s="162"/>
      <c r="I74" s="162"/>
      <c r="J74" s="91"/>
      <c r="K74" s="88"/>
      <c r="M74" s="7"/>
      <c r="N74" s="10"/>
      <c r="O74" s="10"/>
      <c r="P74" s="10"/>
      <c r="Q74" s="10"/>
      <c r="R74" s="162"/>
      <c r="S74" s="162"/>
      <c r="T74" s="162"/>
      <c r="U74" s="91"/>
      <c r="V74" s="88"/>
    </row>
    <row r="75" ht="12.75" customHeight="1">
      <c r="A75" s="7"/>
      <c r="B75" s="10"/>
      <c r="C75" s="76"/>
      <c r="D75" s="162"/>
      <c r="E75" s="162"/>
      <c r="F75" s="162"/>
      <c r="G75" s="162"/>
      <c r="H75" s="162"/>
      <c r="I75" s="162"/>
      <c r="J75" s="91"/>
      <c r="K75" s="91"/>
      <c r="M75" s="7"/>
      <c r="N75" s="10"/>
      <c r="O75" s="10"/>
      <c r="P75" s="10"/>
      <c r="Q75" s="10"/>
      <c r="R75" s="162"/>
      <c r="S75" s="162"/>
      <c r="T75" s="162"/>
      <c r="U75" s="91"/>
      <c r="V75" s="91"/>
    </row>
    <row r="76" ht="12.75" customHeight="1">
      <c r="A76" s="7"/>
      <c r="B76" s="10"/>
      <c r="C76" s="76"/>
      <c r="D76" s="162"/>
      <c r="E76" s="162"/>
      <c r="F76" s="162"/>
      <c r="G76" s="162"/>
      <c r="H76" s="162"/>
      <c r="I76" s="162"/>
      <c r="J76" s="91"/>
      <c r="K76" s="91"/>
      <c r="M76" s="7"/>
      <c r="N76" s="10"/>
      <c r="O76" s="10"/>
      <c r="P76" s="10"/>
      <c r="Q76" s="10"/>
      <c r="R76" s="162"/>
      <c r="S76" s="162"/>
      <c r="T76" s="162"/>
      <c r="U76" s="91"/>
      <c r="V76" s="91"/>
    </row>
    <row r="77" ht="12.75" customHeight="1">
      <c r="A77" s="7"/>
      <c r="B77" s="10"/>
      <c r="C77" s="76"/>
      <c r="D77" s="162"/>
      <c r="E77" s="162"/>
      <c r="F77" s="162"/>
      <c r="G77" s="162"/>
      <c r="H77" s="162"/>
      <c r="I77" s="162"/>
      <c r="J77" s="91"/>
      <c r="K77" s="88"/>
      <c r="M77" s="7"/>
      <c r="N77" s="10"/>
      <c r="O77" s="10"/>
      <c r="P77" s="10"/>
      <c r="Q77" s="10"/>
      <c r="R77" s="162"/>
      <c r="S77" s="162"/>
      <c r="T77" s="162"/>
      <c r="U77" s="91"/>
      <c r="V77" s="88"/>
    </row>
    <row r="78" ht="12.75" customHeight="1">
      <c r="A78" s="7"/>
      <c r="B78" s="10"/>
      <c r="C78" s="76"/>
      <c r="D78" s="162"/>
      <c r="E78" s="162"/>
      <c r="F78" s="162"/>
      <c r="G78" s="162"/>
      <c r="H78" s="162"/>
      <c r="I78" s="162"/>
      <c r="J78" s="91"/>
      <c r="K78" s="91"/>
      <c r="M78" s="7"/>
      <c r="N78" s="10"/>
      <c r="O78" s="10"/>
      <c r="P78" s="10"/>
      <c r="Q78" s="10"/>
      <c r="R78" s="162"/>
      <c r="S78" s="162"/>
      <c r="T78" s="162"/>
      <c r="U78" s="91"/>
      <c r="V78" s="91"/>
    </row>
    <row r="79" ht="12.75" customHeight="1">
      <c r="A79" s="7"/>
      <c r="B79" s="10"/>
      <c r="C79" s="76"/>
      <c r="D79" s="162"/>
      <c r="E79" s="162"/>
      <c r="F79" s="162"/>
      <c r="G79" s="162"/>
      <c r="H79" s="162"/>
      <c r="I79" s="162"/>
      <c r="J79" s="91"/>
      <c r="K79" s="91"/>
      <c r="M79" s="7"/>
      <c r="N79" s="10"/>
      <c r="O79" s="10"/>
      <c r="P79" s="10"/>
      <c r="Q79" s="10"/>
      <c r="R79" s="162"/>
      <c r="S79" s="162"/>
      <c r="T79" s="162"/>
      <c r="U79" s="91"/>
      <c r="V79" s="91"/>
    </row>
    <row r="80" ht="12.75" customHeight="1">
      <c r="A80" s="7"/>
      <c r="B80" s="10"/>
      <c r="C80" s="76"/>
      <c r="D80" s="162"/>
      <c r="E80" s="162"/>
      <c r="F80" s="162"/>
      <c r="G80" s="162"/>
      <c r="H80" s="162"/>
      <c r="I80" s="162"/>
      <c r="J80" s="91"/>
      <c r="K80" s="88"/>
      <c r="M80" s="7"/>
      <c r="N80" s="10"/>
      <c r="O80" s="10"/>
      <c r="P80" s="10"/>
      <c r="Q80" s="10"/>
      <c r="R80" s="162"/>
      <c r="S80" s="162"/>
      <c r="T80" s="162"/>
      <c r="U80" s="91"/>
      <c r="V80" s="88"/>
    </row>
    <row r="81" ht="12.75" customHeight="1">
      <c r="A81" s="7"/>
      <c r="B81" s="10"/>
      <c r="C81" s="76"/>
      <c r="D81" s="162"/>
      <c r="E81" s="162"/>
      <c r="F81" s="162"/>
      <c r="G81" s="162"/>
      <c r="H81" s="162"/>
      <c r="I81" s="162"/>
      <c r="J81" s="91"/>
      <c r="K81" s="91"/>
      <c r="M81" s="7"/>
      <c r="N81" s="10"/>
      <c r="O81" s="10"/>
      <c r="P81" s="10"/>
      <c r="Q81" s="10"/>
      <c r="R81" s="162"/>
      <c r="S81" s="162"/>
      <c r="T81" s="162"/>
      <c r="U81" s="91"/>
      <c r="V81" s="91"/>
    </row>
    <row r="82" ht="12.75" customHeight="1">
      <c r="A82" s="7"/>
      <c r="B82" s="10"/>
      <c r="C82" s="10"/>
      <c r="D82" s="162"/>
      <c r="E82" s="162"/>
      <c r="F82" s="162"/>
      <c r="G82" s="162"/>
      <c r="H82" s="162"/>
      <c r="I82" s="162"/>
      <c r="J82" s="91"/>
      <c r="M82" s="7"/>
      <c r="N82" s="10"/>
      <c r="O82" s="10"/>
      <c r="P82" s="10"/>
      <c r="Q82" s="10"/>
      <c r="R82" s="162"/>
      <c r="S82" s="162"/>
      <c r="T82" s="162"/>
      <c r="U82" s="91"/>
    </row>
    <row r="83" ht="12.75" customHeight="1">
      <c r="A83" s="7"/>
      <c r="B83" s="10"/>
      <c r="C83" s="10"/>
      <c r="D83" s="162"/>
      <c r="E83" s="162"/>
      <c r="F83" s="162"/>
      <c r="G83" s="162"/>
      <c r="H83" s="162"/>
      <c r="I83" s="162"/>
      <c r="J83" s="91"/>
      <c r="K83" s="88"/>
      <c r="M83" s="7"/>
      <c r="N83" s="10"/>
      <c r="O83" s="10"/>
      <c r="P83" s="10"/>
      <c r="Q83" s="10"/>
      <c r="R83" s="162"/>
      <c r="S83" s="162"/>
      <c r="T83" s="162"/>
      <c r="U83" s="91"/>
      <c r="V83" s="91"/>
    </row>
    <row r="84" ht="12.75" customHeight="1">
      <c r="A84" s="7"/>
      <c r="C84" s="10"/>
      <c r="D84" s="162"/>
      <c r="E84" s="162"/>
      <c r="F84" s="162"/>
      <c r="G84" s="162"/>
      <c r="K84" s="91"/>
      <c r="M84" s="7"/>
      <c r="N84" s="10"/>
      <c r="O84" s="10"/>
      <c r="P84" s="10"/>
      <c r="Q84" s="10"/>
      <c r="R84" s="162"/>
      <c r="S84" s="162"/>
      <c r="T84" s="162"/>
      <c r="U84" s="91"/>
      <c r="V84" s="88"/>
    </row>
    <row r="85" ht="12.75" customHeight="1">
      <c r="A85" s="7"/>
      <c r="C85" s="10"/>
      <c r="D85" s="162"/>
      <c r="E85" s="162"/>
      <c r="F85" s="162"/>
      <c r="G85" s="162"/>
      <c r="J85" s="7"/>
      <c r="K85" s="7"/>
      <c r="M85" s="7"/>
      <c r="N85" s="76"/>
      <c r="O85" s="76"/>
      <c r="P85" s="76"/>
      <c r="Q85" s="76"/>
      <c r="R85" s="162"/>
      <c r="S85" s="162"/>
      <c r="T85" s="162"/>
      <c r="U85" s="7"/>
      <c r="V85" s="7"/>
    </row>
    <row r="86" ht="12.75" customHeight="1">
      <c r="A86" s="7"/>
      <c r="C86" s="10"/>
      <c r="D86" s="162"/>
      <c r="E86" s="162"/>
      <c r="F86" s="162"/>
      <c r="G86" s="162"/>
      <c r="J86" s="7"/>
      <c r="K86" s="7"/>
    </row>
    <row r="87" ht="12.75" customHeight="1">
      <c r="A87" s="7"/>
      <c r="C87" s="10"/>
      <c r="D87" s="162"/>
      <c r="E87" s="162"/>
      <c r="F87" s="162"/>
      <c r="G87" s="162"/>
    </row>
    <row r="88" ht="12.75" customHeight="1">
      <c r="A88" s="7"/>
      <c r="B88" s="10"/>
      <c r="C88" s="76"/>
      <c r="D88" s="162"/>
      <c r="E88" s="162"/>
      <c r="F88" s="162"/>
      <c r="G88" s="162"/>
      <c r="H88" s="162"/>
      <c r="I88" s="162"/>
    </row>
    <row r="89" ht="12.75" customHeight="1">
      <c r="A89" s="7"/>
      <c r="B89" s="128"/>
      <c r="C89" s="76"/>
      <c r="D89" s="162"/>
      <c r="E89" s="162"/>
      <c r="F89" s="162"/>
      <c r="G89" s="162"/>
      <c r="H89" s="162"/>
      <c r="I89" s="162"/>
    </row>
    <row r="90" ht="12.75" customHeight="1">
      <c r="A90" s="7"/>
      <c r="B90" s="128"/>
      <c r="C90" s="76"/>
      <c r="D90" s="162"/>
      <c r="E90" s="162"/>
      <c r="F90" s="162"/>
      <c r="G90" s="162"/>
      <c r="H90" s="162"/>
      <c r="I90" s="162"/>
    </row>
    <row r="91" ht="12.75" customHeight="1">
      <c r="A91" s="7"/>
      <c r="B91" s="128"/>
      <c r="C91" s="76"/>
      <c r="D91" s="162"/>
      <c r="E91" s="162"/>
      <c r="F91" s="162"/>
      <c r="G91" s="162"/>
      <c r="H91" s="162"/>
      <c r="I91" s="162"/>
    </row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4">
    <mergeCell ref="A17:C17"/>
    <mergeCell ref="A18:C18"/>
    <mergeCell ref="G18:I18"/>
    <mergeCell ref="G44:I44"/>
  </mergeCells>
  <printOptions/>
  <pageMargins bottom="0.75" footer="0.0" header="0.0" left="0.7" right="0.7" top="0.75"/>
  <pageSetup scale="95" orientation="landscape"/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8.5"/>
    <col customWidth="1" min="3" max="3" width="10.25"/>
    <col customWidth="1" min="4" max="4" width="7.0"/>
    <col customWidth="1" min="5" max="5" width="8.13"/>
    <col customWidth="1" min="6" max="6" width="8.88"/>
    <col customWidth="1" min="7" max="7" width="7.25"/>
    <col customWidth="1" min="8" max="8" width="7.0"/>
    <col customWidth="1" min="9" max="9" width="7.88"/>
    <col customWidth="1" min="10" max="10" width="8.0"/>
    <col customWidth="1" min="11" max="11" width="8.13"/>
    <col customWidth="1" min="12" max="12" width="7.0"/>
    <col customWidth="1" min="13" max="13" width="11.25"/>
    <col customWidth="1" min="14" max="26" width="7.0"/>
  </cols>
  <sheetData>
    <row r="1">
      <c r="A1" s="1"/>
      <c r="G1" s="2" t="s">
        <v>0</v>
      </c>
      <c r="I1" s="3"/>
    </row>
    <row r="2" ht="12.75" customHeight="1">
      <c r="A2" t="s">
        <v>1</v>
      </c>
    </row>
    <row r="3" ht="12.75" customHeight="1">
      <c r="G3" s="4" t="s">
        <v>2</v>
      </c>
      <c r="H3" s="4"/>
      <c r="I3" s="4"/>
      <c r="J3" s="4" t="s">
        <v>3</v>
      </c>
      <c r="M3" s="15" t="s">
        <v>96</v>
      </c>
    </row>
    <row r="4" ht="12.75" customHeight="1">
      <c r="A4" s="5" t="s">
        <v>4</v>
      </c>
      <c r="B4" s="6" t="s">
        <v>78</v>
      </c>
      <c r="G4" s="7" t="s">
        <v>5</v>
      </c>
      <c r="H4" s="8">
        <v>0.062</v>
      </c>
      <c r="I4" t="s">
        <v>6</v>
      </c>
      <c r="J4" s="9">
        <v>0.228</v>
      </c>
      <c r="K4" t="s">
        <v>6</v>
      </c>
      <c r="M4" s="15">
        <v>0.15</v>
      </c>
      <c r="N4" s="15" t="s">
        <v>6</v>
      </c>
      <c r="R4" s="10"/>
    </row>
    <row r="5" ht="12.75" customHeight="1">
      <c r="A5" s="5" t="s">
        <v>8</v>
      </c>
      <c r="B5" s="6" t="s">
        <v>75</v>
      </c>
      <c r="G5" s="7" t="s">
        <v>9</v>
      </c>
      <c r="H5" s="8">
        <v>0.066</v>
      </c>
      <c r="J5" s="9">
        <v>0.242</v>
      </c>
      <c r="K5" s="15" t="s">
        <v>97</v>
      </c>
      <c r="M5" s="15">
        <v>0.16</v>
      </c>
      <c r="O5" s="15" t="s">
        <v>98</v>
      </c>
      <c r="R5" s="10"/>
    </row>
    <row r="6" ht="12.75" customHeight="1">
      <c r="A6" s="5" t="s">
        <v>10</v>
      </c>
      <c r="B6" s="12"/>
      <c r="G6" s="7" t="s">
        <v>13</v>
      </c>
      <c r="H6" s="8">
        <v>0.074</v>
      </c>
      <c r="J6" s="9">
        <v>0.258</v>
      </c>
      <c r="M6" s="15">
        <v>0.178</v>
      </c>
      <c r="R6" s="10"/>
    </row>
    <row r="7" ht="12.75" customHeight="1">
      <c r="A7" s="5" t="s">
        <v>14</v>
      </c>
      <c r="B7" s="13"/>
      <c r="G7" s="7" t="s">
        <v>16</v>
      </c>
      <c r="H7" s="8">
        <v>0.086</v>
      </c>
      <c r="J7" s="9">
        <v>0.272</v>
      </c>
      <c r="M7" s="15">
        <v>0.19</v>
      </c>
      <c r="R7" s="10"/>
    </row>
    <row r="8" ht="12.75" customHeight="1">
      <c r="G8" s="7" t="s">
        <v>17</v>
      </c>
      <c r="H8" s="8">
        <v>0.104</v>
      </c>
      <c r="J8" s="9">
        <v>0.282</v>
      </c>
      <c r="M8" s="15">
        <v>0.2</v>
      </c>
      <c r="R8" s="10"/>
    </row>
    <row r="9" ht="12.75" customHeight="1">
      <c r="G9" s="7" t="s">
        <v>18</v>
      </c>
      <c r="H9" s="8">
        <v>0.124</v>
      </c>
      <c r="J9" s="9">
        <v>0.298</v>
      </c>
      <c r="M9" s="15">
        <v>0.21</v>
      </c>
      <c r="R9" s="10"/>
    </row>
    <row r="10" ht="12.75" customHeight="1">
      <c r="G10" s="7" t="s">
        <v>19</v>
      </c>
      <c r="H10" s="8">
        <v>0.136</v>
      </c>
      <c r="J10" s="9">
        <v>0.312</v>
      </c>
      <c r="M10" s="15">
        <v>0.224</v>
      </c>
      <c r="R10" s="10"/>
    </row>
    <row r="11" ht="12.75" customHeight="1">
      <c r="G11" s="7" t="s">
        <v>20</v>
      </c>
      <c r="H11" s="8">
        <v>0.15</v>
      </c>
      <c r="I11" s="15" t="s">
        <v>99</v>
      </c>
      <c r="J11" s="9">
        <v>0.326</v>
      </c>
      <c r="M11" s="15">
        <v>0.236</v>
      </c>
      <c r="O11" s="15" t="s">
        <v>100</v>
      </c>
      <c r="R11" s="10"/>
    </row>
    <row r="12" ht="12.75" customHeight="1">
      <c r="G12" s="7" t="s">
        <v>21</v>
      </c>
      <c r="H12" s="8">
        <v>0.16</v>
      </c>
      <c r="I12" s="15" t="s">
        <v>6</v>
      </c>
      <c r="J12" s="9">
        <v>0.326</v>
      </c>
      <c r="K12" s="15" t="s">
        <v>6</v>
      </c>
      <c r="M12" s="15">
        <v>0.25</v>
      </c>
      <c r="N12" s="15" t="s">
        <v>6</v>
      </c>
      <c r="R12" s="10"/>
    </row>
    <row r="13" ht="12.75" customHeight="1">
      <c r="G13" s="7" t="s">
        <v>22</v>
      </c>
      <c r="H13" s="8">
        <v>0.0</v>
      </c>
      <c r="J13" s="9">
        <v>0.0</v>
      </c>
      <c r="M13" s="15">
        <v>0.0</v>
      </c>
      <c r="R13" s="10"/>
    </row>
    <row r="14" ht="12.75" customHeight="1">
      <c r="G14" s="7" t="s">
        <v>23</v>
      </c>
      <c r="H14" s="8">
        <v>0.0</v>
      </c>
      <c r="J14" s="9">
        <v>0.338</v>
      </c>
      <c r="R14" s="10"/>
    </row>
    <row r="15" ht="12.75" customHeight="1">
      <c r="G15" s="7" t="s">
        <v>24</v>
      </c>
      <c r="H15" s="8">
        <v>0.0</v>
      </c>
      <c r="J15" s="9">
        <v>0.324</v>
      </c>
      <c r="R15" s="10"/>
    </row>
    <row r="16" ht="12.75" customHeight="1">
      <c r="G16" s="17" t="s">
        <v>25</v>
      </c>
      <c r="H16" s="18">
        <f>H15</f>
        <v>0</v>
      </c>
      <c r="I16" s="19"/>
      <c r="J16" s="18">
        <f>J15</f>
        <v>0.324</v>
      </c>
      <c r="K16" s="18"/>
      <c r="M16" s="20"/>
      <c r="R16" s="10"/>
    </row>
    <row r="17" ht="13.5" customHeight="1">
      <c r="A17" s="4" t="s">
        <v>26</v>
      </c>
      <c r="D17" s="188">
        <v>0.1</v>
      </c>
      <c r="G17" s="17" t="s">
        <v>68</v>
      </c>
      <c r="H17" s="18">
        <f>H15</f>
        <v>0</v>
      </c>
      <c r="I17" s="19"/>
      <c r="J17" s="17">
        <v>0.294</v>
      </c>
      <c r="K17" s="18"/>
      <c r="M17" s="20"/>
      <c r="R17" s="10"/>
    </row>
    <row r="18" ht="13.5" customHeight="1">
      <c r="A18" s="4" t="s">
        <v>28</v>
      </c>
      <c r="D18" s="189">
        <v>0.04</v>
      </c>
      <c r="G18" s="168" t="s">
        <v>29</v>
      </c>
      <c r="H18" s="153"/>
      <c r="I18" s="155"/>
      <c r="J18" s="7"/>
      <c r="K18" s="26"/>
      <c r="M18" s="20"/>
      <c r="R18" s="10"/>
    </row>
    <row r="19">
      <c r="D19" s="32"/>
      <c r="G19" s="32"/>
      <c r="J19" s="7"/>
      <c r="L19" s="35" t="s">
        <v>30</v>
      </c>
    </row>
    <row r="20" ht="12.75" customHeight="1">
      <c r="A20" s="33"/>
      <c r="B20" s="34"/>
      <c r="C20" s="36" t="s">
        <v>31</v>
      </c>
      <c r="D20" s="36" t="s">
        <v>33</v>
      </c>
      <c r="E20" s="37" t="s">
        <v>35</v>
      </c>
      <c r="F20" s="45" t="s">
        <v>41</v>
      </c>
      <c r="G20" s="47" t="s">
        <v>42</v>
      </c>
      <c r="H20" s="40" t="s">
        <v>38</v>
      </c>
      <c r="I20" s="41" t="s">
        <v>39</v>
      </c>
      <c r="J20" s="42"/>
      <c r="L20" s="43" t="s">
        <v>33</v>
      </c>
      <c r="M20" s="44" t="s">
        <v>40</v>
      </c>
      <c r="O20" s="46"/>
    </row>
    <row r="21" ht="12.75" customHeight="1">
      <c r="A21" s="48"/>
      <c r="B21" s="7" t="s">
        <v>2</v>
      </c>
      <c r="C21" s="49" t="s">
        <v>43</v>
      </c>
      <c r="D21" s="7" t="s">
        <v>44</v>
      </c>
      <c r="E21" s="52"/>
      <c r="F21" s="53" t="s">
        <v>46</v>
      </c>
      <c r="G21" s="54" t="s">
        <v>46</v>
      </c>
      <c r="H21" s="56" t="s">
        <v>47</v>
      </c>
      <c r="I21" s="58" t="s">
        <v>37</v>
      </c>
      <c r="J21" s="59" t="s">
        <v>33</v>
      </c>
      <c r="L21" s="60"/>
      <c r="M21" s="61" t="s">
        <v>80</v>
      </c>
      <c r="O21" s="7"/>
      <c r="W21" s="20"/>
    </row>
    <row r="22" ht="13.5" customHeight="1">
      <c r="A22" s="62"/>
      <c r="B22" s="63" t="s">
        <v>5</v>
      </c>
      <c r="C22" s="65">
        <f t="shared" ref="C22:C31" si="1">H4</f>
        <v>0.062</v>
      </c>
      <c r="D22" s="66">
        <v>13.0</v>
      </c>
      <c r="E22" s="174">
        <v>0.002</v>
      </c>
      <c r="F22" s="190">
        <v>0.134</v>
      </c>
      <c r="G22" s="191">
        <v>0.074</v>
      </c>
      <c r="H22" s="71">
        <f t="shared" ref="H22:H30" si="2">I22+0.003</f>
        <v>0.034</v>
      </c>
      <c r="I22" s="72">
        <f t="shared" ref="I22:I34" si="3">C22/2</f>
        <v>0.031</v>
      </c>
      <c r="J22" s="73" t="s">
        <v>49</v>
      </c>
      <c r="L22" s="74" t="s">
        <v>49</v>
      </c>
      <c r="M22" s="177">
        <v>0.049</v>
      </c>
      <c r="O22" s="76"/>
      <c r="W22" s="20"/>
    </row>
    <row r="23" ht="13.5" customHeight="1">
      <c r="A23" s="77" t="s">
        <v>50</v>
      </c>
      <c r="B23" s="7" t="s">
        <v>9</v>
      </c>
      <c r="C23" s="76">
        <f t="shared" si="1"/>
        <v>0.066</v>
      </c>
      <c r="D23" s="79">
        <v>12.0</v>
      </c>
      <c r="E23" s="89">
        <v>0.004</v>
      </c>
      <c r="F23" s="192">
        <v>0.136</v>
      </c>
      <c r="G23" s="193">
        <v>0.076</v>
      </c>
      <c r="H23" s="83">
        <f t="shared" si="2"/>
        <v>0.036</v>
      </c>
      <c r="I23" s="85">
        <f t="shared" si="3"/>
        <v>0.033</v>
      </c>
      <c r="J23" s="86" t="s">
        <v>51</v>
      </c>
      <c r="L23" s="87" t="s">
        <v>51</v>
      </c>
      <c r="M23" s="177">
        <v>0.047</v>
      </c>
      <c r="O23" s="76"/>
      <c r="U23" s="88"/>
      <c r="W23" s="4"/>
    </row>
    <row r="24" ht="13.5" customHeight="1">
      <c r="A24" s="62"/>
      <c r="B24" s="63" t="s">
        <v>13</v>
      </c>
      <c r="C24" s="65">
        <f t="shared" si="1"/>
        <v>0.074</v>
      </c>
      <c r="D24" s="66">
        <v>11.0</v>
      </c>
      <c r="E24" s="92">
        <v>0.006</v>
      </c>
      <c r="F24" s="190">
        <v>0.14</v>
      </c>
      <c r="G24" s="191">
        <v>0.08</v>
      </c>
      <c r="H24" s="71">
        <f t="shared" si="2"/>
        <v>0.04</v>
      </c>
      <c r="I24" s="72">
        <f t="shared" si="3"/>
        <v>0.037</v>
      </c>
      <c r="J24" s="73" t="s">
        <v>52</v>
      </c>
      <c r="L24" s="74" t="s">
        <v>52</v>
      </c>
      <c r="M24" s="177">
        <v>0.043</v>
      </c>
      <c r="O24" s="76"/>
      <c r="U24" s="91"/>
      <c r="W24" s="4"/>
    </row>
    <row r="25" ht="13.5" customHeight="1">
      <c r="A25" s="48"/>
      <c r="B25" s="7" t="s">
        <v>16</v>
      </c>
      <c r="C25" s="76">
        <f t="shared" si="1"/>
        <v>0.086</v>
      </c>
      <c r="D25" s="79">
        <v>10.0</v>
      </c>
      <c r="E25" s="93">
        <v>0.009</v>
      </c>
      <c r="F25" s="192">
        <v>0.146</v>
      </c>
      <c r="G25" s="193">
        <v>0.086</v>
      </c>
      <c r="H25" s="83">
        <f t="shared" si="2"/>
        <v>0.046</v>
      </c>
      <c r="I25" s="85">
        <f t="shared" si="3"/>
        <v>0.043</v>
      </c>
      <c r="J25" s="86" t="s">
        <v>53</v>
      </c>
      <c r="L25" s="87" t="s">
        <v>53</v>
      </c>
      <c r="M25" s="177">
        <v>0.037</v>
      </c>
      <c r="O25" s="76"/>
      <c r="U25" s="91"/>
      <c r="W25" s="20"/>
    </row>
    <row r="26" ht="13.5" customHeight="1">
      <c r="A26" s="62"/>
      <c r="B26" s="63" t="s">
        <v>17</v>
      </c>
      <c r="C26" s="65">
        <f t="shared" si="1"/>
        <v>0.104</v>
      </c>
      <c r="D26" s="66">
        <v>9.0</v>
      </c>
      <c r="E26" s="92">
        <v>0.01</v>
      </c>
      <c r="F26" s="190">
        <v>0.155</v>
      </c>
      <c r="G26" s="191">
        <v>0.095</v>
      </c>
      <c r="H26" s="71">
        <f t="shared" si="2"/>
        <v>0.055</v>
      </c>
      <c r="I26" s="72">
        <f t="shared" si="3"/>
        <v>0.052</v>
      </c>
      <c r="J26" s="73" t="s">
        <v>54</v>
      </c>
      <c r="L26" s="74" t="s">
        <v>54</v>
      </c>
      <c r="M26" s="177">
        <v>0.028</v>
      </c>
      <c r="O26" s="76"/>
      <c r="U26" s="88"/>
    </row>
    <row r="27" ht="13.5" customHeight="1">
      <c r="A27" s="48"/>
      <c r="B27" s="7" t="s">
        <v>18</v>
      </c>
      <c r="C27" s="76">
        <f t="shared" si="1"/>
        <v>0.124</v>
      </c>
      <c r="D27" s="97">
        <v>8.0</v>
      </c>
      <c r="E27" s="98">
        <v>0.006</v>
      </c>
      <c r="F27" s="194">
        <v>0.165</v>
      </c>
      <c r="G27" s="195">
        <v>0.105</v>
      </c>
      <c r="H27" s="103">
        <f t="shared" si="2"/>
        <v>0.065</v>
      </c>
      <c r="I27" s="104">
        <f t="shared" si="3"/>
        <v>0.062</v>
      </c>
      <c r="J27" s="105" t="s">
        <v>55</v>
      </c>
      <c r="L27" s="87" t="s">
        <v>55</v>
      </c>
      <c r="M27" s="177">
        <v>0.018</v>
      </c>
      <c r="O27" s="76"/>
      <c r="U27" s="91"/>
    </row>
    <row r="28" ht="13.5" customHeight="1">
      <c r="A28" s="62"/>
      <c r="B28" s="63" t="s">
        <v>19</v>
      </c>
      <c r="C28" s="65">
        <f t="shared" si="1"/>
        <v>0.136</v>
      </c>
      <c r="D28" s="66">
        <v>7.0</v>
      </c>
      <c r="E28" s="92">
        <v>0.007</v>
      </c>
      <c r="F28" s="190">
        <v>0.171</v>
      </c>
      <c r="G28" s="191">
        <v>0.111</v>
      </c>
      <c r="H28" s="71">
        <f t="shared" si="2"/>
        <v>0.071</v>
      </c>
      <c r="I28" s="72">
        <f t="shared" si="3"/>
        <v>0.068</v>
      </c>
      <c r="J28" s="73" t="s">
        <v>56</v>
      </c>
      <c r="L28" s="74" t="s">
        <v>56</v>
      </c>
      <c r="M28" s="177">
        <v>0.012</v>
      </c>
      <c r="O28" s="76"/>
      <c r="U28" s="91"/>
    </row>
    <row r="29" ht="13.5" customHeight="1">
      <c r="A29" s="196" t="s">
        <v>69</v>
      </c>
      <c r="B29" s="7" t="s">
        <v>20</v>
      </c>
      <c r="C29" s="76">
        <f t="shared" si="1"/>
        <v>0.15</v>
      </c>
      <c r="D29" s="79">
        <v>6.0</v>
      </c>
      <c r="E29" s="93">
        <v>0.005</v>
      </c>
      <c r="F29" s="192">
        <v>0.178</v>
      </c>
      <c r="G29" s="193">
        <v>0.118</v>
      </c>
      <c r="H29" s="83">
        <f t="shared" si="2"/>
        <v>0.078</v>
      </c>
      <c r="I29" s="85">
        <f t="shared" si="3"/>
        <v>0.075</v>
      </c>
      <c r="J29" s="86" t="s">
        <v>57</v>
      </c>
      <c r="L29" s="87" t="s">
        <v>57</v>
      </c>
      <c r="M29" s="177">
        <v>0.005</v>
      </c>
      <c r="O29" s="76"/>
      <c r="U29" s="88"/>
    </row>
    <row r="30" ht="13.5" customHeight="1">
      <c r="A30" s="62"/>
      <c r="B30" s="63" t="s">
        <v>21</v>
      </c>
      <c r="C30" s="65">
        <f t="shared" si="1"/>
        <v>0.16</v>
      </c>
      <c r="D30" s="66">
        <v>5.0</v>
      </c>
      <c r="E30" s="92">
        <v>0.0</v>
      </c>
      <c r="F30" s="190">
        <v>0.183</v>
      </c>
      <c r="G30" s="191">
        <v>0.123</v>
      </c>
      <c r="H30" s="71">
        <f t="shared" si="2"/>
        <v>0.083</v>
      </c>
      <c r="I30" s="72">
        <f t="shared" si="3"/>
        <v>0.08</v>
      </c>
      <c r="J30" s="73" t="s">
        <v>58</v>
      </c>
      <c r="L30" s="74" t="s">
        <v>58</v>
      </c>
      <c r="M30" s="177">
        <v>0.0</v>
      </c>
      <c r="O30" s="76"/>
      <c r="U30" s="91"/>
    </row>
    <row r="31" ht="13.5" customHeight="1">
      <c r="A31" s="94"/>
      <c r="B31" s="7" t="s">
        <v>22</v>
      </c>
      <c r="C31" s="76">
        <f t="shared" si="1"/>
        <v>0</v>
      </c>
      <c r="D31" s="79">
        <v>4.0</v>
      </c>
      <c r="E31" s="93">
        <v>0.0</v>
      </c>
      <c r="F31" s="192">
        <v>0.0</v>
      </c>
      <c r="G31" s="193">
        <v>0.0</v>
      </c>
      <c r="H31" s="198">
        <v>0.0</v>
      </c>
      <c r="I31" s="85">
        <f t="shared" si="3"/>
        <v>0</v>
      </c>
      <c r="J31" s="86" t="s">
        <v>59</v>
      </c>
      <c r="L31" s="87" t="s">
        <v>59</v>
      </c>
      <c r="M31" s="177">
        <v>0.0</v>
      </c>
      <c r="N31" s="95"/>
      <c r="O31" s="76"/>
    </row>
    <row r="32" ht="13.5" customHeight="1">
      <c r="A32" s="96"/>
      <c r="B32" s="63" t="s">
        <v>60</v>
      </c>
      <c r="C32" s="65">
        <f>MROUND(((C36-C31)/4)+C31,0.001)</f>
        <v>0</v>
      </c>
      <c r="D32" s="66"/>
      <c r="E32" s="90" t="s">
        <v>61</v>
      </c>
      <c r="F32" s="190">
        <v>0.0</v>
      </c>
      <c r="G32" s="191">
        <v>0.0</v>
      </c>
      <c r="H32" s="199">
        <v>0.0</v>
      </c>
      <c r="I32" s="72">
        <f t="shared" si="3"/>
        <v>0</v>
      </c>
      <c r="J32" s="101"/>
      <c r="L32" s="102"/>
      <c r="M32" s="75" t="s">
        <v>61</v>
      </c>
      <c r="O32" s="76"/>
      <c r="U32" s="91"/>
    </row>
    <row r="33" ht="13.5" customHeight="1">
      <c r="A33" s="77"/>
      <c r="B33" s="7" t="s">
        <v>62</v>
      </c>
      <c r="C33" s="76">
        <f>MROUND(((C36-C31)/4)+C32,0.001)</f>
        <v>0</v>
      </c>
      <c r="D33" s="79"/>
      <c r="E33" s="80" t="s">
        <v>61</v>
      </c>
      <c r="F33" s="192">
        <v>0.0</v>
      </c>
      <c r="G33" s="193">
        <v>0.0</v>
      </c>
      <c r="H33" s="198">
        <v>0.0</v>
      </c>
      <c r="I33" s="85">
        <f t="shared" si="3"/>
        <v>0</v>
      </c>
      <c r="J33" s="106"/>
      <c r="L33" s="94"/>
      <c r="M33" s="75" t="s">
        <v>61</v>
      </c>
      <c r="O33" s="107"/>
      <c r="U33" s="88"/>
    </row>
    <row r="34" ht="13.5" customHeight="1">
      <c r="A34" s="96"/>
      <c r="B34" s="63" t="s">
        <v>63</v>
      </c>
      <c r="C34" s="65">
        <f>MROUND(((C36-C31)/4)+C33,0.001)</f>
        <v>0</v>
      </c>
      <c r="D34" s="66"/>
      <c r="E34" s="90" t="s">
        <v>61</v>
      </c>
      <c r="F34" s="190">
        <v>0.0</v>
      </c>
      <c r="G34" s="191">
        <v>0.0</v>
      </c>
      <c r="H34" s="199">
        <v>0.0</v>
      </c>
      <c r="I34" s="72">
        <f t="shared" si="3"/>
        <v>0</v>
      </c>
      <c r="J34" s="101"/>
      <c r="L34" s="102"/>
      <c r="M34" s="75" t="s">
        <v>61</v>
      </c>
      <c r="O34" s="76"/>
      <c r="U34" s="7"/>
    </row>
    <row r="35" ht="13.5" customHeight="1">
      <c r="A35" s="94"/>
      <c r="B35" s="7" t="s">
        <v>64</v>
      </c>
      <c r="C35" s="78">
        <v>0.191</v>
      </c>
      <c r="D35" s="79"/>
      <c r="E35" s="80" t="s">
        <v>61</v>
      </c>
      <c r="F35" s="192">
        <v>0.0</v>
      </c>
      <c r="G35" s="193">
        <v>0.0</v>
      </c>
      <c r="H35" s="198">
        <v>0.0</v>
      </c>
      <c r="I35" s="202">
        <v>0.0</v>
      </c>
      <c r="J35" s="106"/>
      <c r="L35" s="94"/>
      <c r="M35" s="75" t="s">
        <v>61</v>
      </c>
      <c r="O35" s="76"/>
    </row>
    <row r="36" ht="13.5" customHeight="1">
      <c r="A36" s="181"/>
      <c r="B36" s="63" t="s">
        <v>23</v>
      </c>
      <c r="C36" s="65">
        <f t="shared" ref="C36:C39" si="4">H14</f>
        <v>0</v>
      </c>
      <c r="D36" s="66">
        <v>3.0</v>
      </c>
      <c r="E36" s="90">
        <f t="shared" ref="E36:E38" si="5">(I37-I36)+E37</f>
        <v>0</v>
      </c>
      <c r="F36" s="190">
        <v>0.0</v>
      </c>
      <c r="G36" s="191">
        <v>0.0</v>
      </c>
      <c r="H36" s="199">
        <v>0.0</v>
      </c>
      <c r="I36" s="72">
        <f t="shared" ref="I36:I39" si="6">C36/2</f>
        <v>0</v>
      </c>
      <c r="J36" s="73" t="s">
        <v>65</v>
      </c>
      <c r="L36" s="74" t="s">
        <v>65</v>
      </c>
      <c r="M36" s="75">
        <v>0.0</v>
      </c>
      <c r="N36" s="95"/>
      <c r="O36" s="76"/>
    </row>
    <row r="37" ht="13.5" customHeight="1">
      <c r="A37" s="94"/>
      <c r="B37" s="7" t="s">
        <v>24</v>
      </c>
      <c r="C37" s="76">
        <f t="shared" si="4"/>
        <v>0</v>
      </c>
      <c r="D37" s="79">
        <v>2.0</v>
      </c>
      <c r="E37" s="80">
        <f t="shared" si="5"/>
        <v>0</v>
      </c>
      <c r="F37" s="192">
        <v>0.0</v>
      </c>
      <c r="G37" s="193">
        <v>0.0</v>
      </c>
      <c r="H37" s="198">
        <v>0.0</v>
      </c>
      <c r="I37" s="85">
        <f t="shared" si="6"/>
        <v>0</v>
      </c>
      <c r="J37" s="86" t="s">
        <v>66</v>
      </c>
      <c r="L37" s="87" t="s">
        <v>66</v>
      </c>
      <c r="M37" s="75">
        <v>0.0</v>
      </c>
      <c r="O37" s="76"/>
    </row>
    <row r="38" ht="13.5" customHeight="1">
      <c r="A38" s="62"/>
      <c r="B38" s="108" t="s">
        <v>25</v>
      </c>
      <c r="C38" s="109">
        <f t="shared" si="4"/>
        <v>0</v>
      </c>
      <c r="D38" s="66">
        <v>1.0</v>
      </c>
      <c r="E38" s="90">
        <f t="shared" si="5"/>
        <v>0</v>
      </c>
      <c r="F38" s="68">
        <f>F39</f>
        <v>0</v>
      </c>
      <c r="G38" s="191">
        <v>0.0</v>
      </c>
      <c r="H38" s="199">
        <v>0.0</v>
      </c>
      <c r="I38" s="72">
        <f t="shared" si="6"/>
        <v>0</v>
      </c>
      <c r="J38" s="73" t="s">
        <v>67</v>
      </c>
      <c r="L38" s="74" t="s">
        <v>67</v>
      </c>
      <c r="M38" s="75">
        <v>0.0</v>
      </c>
      <c r="O38" s="76"/>
    </row>
    <row r="39" ht="13.5" customHeight="1">
      <c r="A39" s="112"/>
      <c r="B39" s="113" t="s">
        <v>68</v>
      </c>
      <c r="C39" s="114">
        <f t="shared" si="4"/>
        <v>0</v>
      </c>
      <c r="D39" s="115">
        <v>0.0</v>
      </c>
      <c r="E39" s="116">
        <v>0.0</v>
      </c>
      <c r="F39" s="117">
        <f>F37</f>
        <v>0</v>
      </c>
      <c r="G39" s="204">
        <v>0.0</v>
      </c>
      <c r="H39" s="205">
        <v>0.0</v>
      </c>
      <c r="I39" s="122">
        <f t="shared" si="6"/>
        <v>0</v>
      </c>
      <c r="J39" s="123" t="s">
        <v>70</v>
      </c>
      <c r="L39" s="124" t="s">
        <v>70</v>
      </c>
      <c r="M39" s="125">
        <v>0.0</v>
      </c>
      <c r="O39" s="76"/>
    </row>
    <row r="40" ht="12.75" customHeight="1">
      <c r="B40" s="7"/>
      <c r="C40" s="76"/>
      <c r="D40" s="76"/>
      <c r="E40" s="76"/>
      <c r="F40" s="76"/>
      <c r="G40" s="76"/>
      <c r="H40" s="76"/>
      <c r="I40" s="76"/>
      <c r="J40" s="91"/>
      <c r="K40" s="49"/>
      <c r="L40" s="7"/>
      <c r="M40" s="126"/>
      <c r="N40" s="126"/>
      <c r="O40" s="126"/>
      <c r="P40" s="126"/>
      <c r="Q40" s="126"/>
      <c r="R40" s="126"/>
      <c r="S40" s="126"/>
      <c r="T40" s="91"/>
    </row>
    <row r="41" ht="12.75" customHeight="1">
      <c r="A41" s="49"/>
      <c r="B41" s="7"/>
      <c r="C41" s="76"/>
      <c r="D41" s="76"/>
      <c r="E41" s="76"/>
      <c r="F41" s="76"/>
      <c r="G41" s="76"/>
      <c r="H41" s="76"/>
      <c r="I41" s="76"/>
      <c r="J41" s="91"/>
      <c r="K41" s="49"/>
      <c r="L41" s="7"/>
      <c r="M41" s="126"/>
      <c r="N41" s="126"/>
      <c r="O41" s="126"/>
      <c r="P41" s="126"/>
      <c r="Q41" s="126"/>
      <c r="R41" s="126"/>
      <c r="S41" s="126"/>
      <c r="T41" s="91"/>
    </row>
    <row r="42" ht="12.75" customHeight="1">
      <c r="A42" s="49"/>
      <c r="B42" s="7"/>
      <c r="C42" s="76"/>
      <c r="D42" s="76"/>
      <c r="E42" s="76"/>
      <c r="F42" s="76"/>
      <c r="G42" s="76"/>
      <c r="H42" s="76"/>
      <c r="I42" s="76"/>
      <c r="J42" s="91"/>
      <c r="K42" s="49"/>
      <c r="L42" s="7"/>
      <c r="M42" s="126"/>
      <c r="N42" s="126"/>
      <c r="O42" s="126"/>
      <c r="P42" s="126"/>
      <c r="Q42" s="126"/>
      <c r="R42" s="126"/>
      <c r="S42" s="126"/>
      <c r="T42" s="91"/>
    </row>
    <row r="43" ht="12.75" customHeight="1">
      <c r="N43" s="126"/>
      <c r="O43" s="126"/>
      <c r="P43" s="126"/>
      <c r="Q43" s="126"/>
      <c r="R43" s="126"/>
      <c r="S43" s="126"/>
      <c r="T43" s="91"/>
    </row>
    <row r="44" ht="12.75" customHeight="1">
      <c r="N44" s="126"/>
      <c r="O44" s="126"/>
      <c r="P44" s="126"/>
      <c r="Q44" s="126"/>
      <c r="R44" s="126"/>
      <c r="S44" s="126"/>
      <c r="T44" s="91"/>
    </row>
    <row r="45">
      <c r="B45" s="7"/>
      <c r="C45" s="76"/>
      <c r="D45" s="76"/>
      <c r="E45" s="76"/>
      <c r="F45" s="76"/>
      <c r="G45" s="76"/>
      <c r="H45" s="76"/>
      <c r="I45" s="76"/>
      <c r="J45" s="91"/>
      <c r="K45" s="49"/>
      <c r="L45" s="7"/>
      <c r="M45" s="126"/>
    </row>
    <row r="46" ht="12.75" customHeight="1">
      <c r="B46" s="7"/>
      <c r="C46" s="76"/>
      <c r="D46" s="76"/>
      <c r="E46" s="76"/>
      <c r="F46" s="76"/>
      <c r="G46" s="217" t="s">
        <v>112</v>
      </c>
      <c r="H46" s="153"/>
      <c r="I46" s="155"/>
      <c r="J46" s="91"/>
      <c r="K46" s="49"/>
      <c r="L46" s="7"/>
      <c r="M46" s="126"/>
    </row>
    <row r="47" ht="12.75" customHeight="1">
      <c r="D47" s="127"/>
      <c r="E47" s="127"/>
      <c r="F47" s="127"/>
      <c r="G47" s="127"/>
      <c r="H47" s="128"/>
      <c r="L47" s="35" t="s">
        <v>30</v>
      </c>
    </row>
    <row r="48" ht="12.75" customHeight="1">
      <c r="A48" s="129"/>
      <c r="B48" s="34"/>
      <c r="C48" s="36" t="s">
        <v>31</v>
      </c>
      <c r="D48" s="36" t="s">
        <v>33</v>
      </c>
      <c r="E48" s="37" t="s">
        <v>35</v>
      </c>
      <c r="F48" s="45" t="s">
        <v>41</v>
      </c>
      <c r="G48" s="47" t="s">
        <v>42</v>
      </c>
      <c r="H48" s="40" t="s">
        <v>38</v>
      </c>
      <c r="I48" s="41" t="s">
        <v>39</v>
      </c>
      <c r="J48" s="130"/>
      <c r="L48" s="43" t="s">
        <v>33</v>
      </c>
      <c r="M48" s="44" t="s">
        <v>40</v>
      </c>
    </row>
    <row r="49" ht="12.75" customHeight="1">
      <c r="A49" s="131"/>
      <c r="B49" s="7" t="s">
        <v>3</v>
      </c>
      <c r="C49" s="49" t="s">
        <v>43</v>
      </c>
      <c r="D49" s="7" t="s">
        <v>44</v>
      </c>
      <c r="E49" s="52"/>
      <c r="F49" s="53" t="s">
        <v>46</v>
      </c>
      <c r="G49" s="54" t="s">
        <v>46</v>
      </c>
      <c r="H49" s="56" t="s">
        <v>47</v>
      </c>
      <c r="I49" s="58" t="s">
        <v>37</v>
      </c>
      <c r="J49" s="59" t="s">
        <v>33</v>
      </c>
      <c r="L49" s="60"/>
      <c r="M49" s="61" t="s">
        <v>80</v>
      </c>
    </row>
    <row r="50" ht="12.75" customHeight="1">
      <c r="A50" s="62"/>
      <c r="B50" s="63" t="s">
        <v>5</v>
      </c>
      <c r="C50" s="132">
        <v>0.15</v>
      </c>
      <c r="D50" s="133">
        <v>13.0</v>
      </c>
      <c r="E50" s="141">
        <v>0.005</v>
      </c>
      <c r="F50" s="136">
        <f>I50+$D$17</f>
        <v>0.175</v>
      </c>
      <c r="G50" s="191">
        <v>0.118</v>
      </c>
      <c r="H50" s="71">
        <f t="shared" ref="H50:H58" si="7">I50+0.003</f>
        <v>0.078</v>
      </c>
      <c r="I50" s="72">
        <f t="shared" ref="I50:I59" si="8">C50/2</f>
        <v>0.075</v>
      </c>
      <c r="J50" s="73" t="s">
        <v>49</v>
      </c>
      <c r="L50" s="74" t="s">
        <v>49</v>
      </c>
      <c r="M50" s="61">
        <v>0.05</v>
      </c>
    </row>
    <row r="51" ht="12.75" customHeight="1">
      <c r="A51" s="77" t="s">
        <v>69</v>
      </c>
      <c r="B51" s="7" t="s">
        <v>9</v>
      </c>
      <c r="C51" s="138">
        <v>0.16</v>
      </c>
      <c r="D51" s="79">
        <v>12.0</v>
      </c>
      <c r="E51" s="141">
        <v>0.009</v>
      </c>
      <c r="F51" s="219">
        <v>0.183</v>
      </c>
      <c r="G51" s="193">
        <v>0.123</v>
      </c>
      <c r="H51" s="83">
        <f t="shared" si="7"/>
        <v>0.083</v>
      </c>
      <c r="I51" s="85">
        <f t="shared" si="8"/>
        <v>0.08</v>
      </c>
      <c r="J51" s="86" t="s">
        <v>51</v>
      </c>
      <c r="L51" s="87" t="s">
        <v>51</v>
      </c>
      <c r="M51" s="61">
        <v>0.045</v>
      </c>
    </row>
    <row r="52" ht="12.75" customHeight="1">
      <c r="A52" s="62"/>
      <c r="B52" s="63" t="s">
        <v>13</v>
      </c>
      <c r="C52" s="132">
        <v>0.178</v>
      </c>
      <c r="D52" s="133">
        <v>11.0</v>
      </c>
      <c r="E52" s="141">
        <v>0.006</v>
      </c>
      <c r="F52" s="220">
        <v>0.192</v>
      </c>
      <c r="G52" s="191">
        <v>0.132</v>
      </c>
      <c r="H52" s="71">
        <f t="shared" si="7"/>
        <v>0.092</v>
      </c>
      <c r="I52" s="72">
        <f t="shared" si="8"/>
        <v>0.089</v>
      </c>
      <c r="J52" s="73" t="s">
        <v>52</v>
      </c>
      <c r="L52" s="74" t="s">
        <v>52</v>
      </c>
      <c r="M52" s="61">
        <v>0.036</v>
      </c>
    </row>
    <row r="53" ht="12.75" customHeight="1">
      <c r="A53" s="48"/>
      <c r="B53" s="7" t="s">
        <v>16</v>
      </c>
      <c r="C53" s="138">
        <v>0.19</v>
      </c>
      <c r="D53" s="79">
        <v>10.0</v>
      </c>
      <c r="E53" s="141">
        <v>0.005</v>
      </c>
      <c r="F53" s="219">
        <v>0.198</v>
      </c>
      <c r="G53" s="193">
        <v>0.138</v>
      </c>
      <c r="H53" s="83">
        <f t="shared" si="7"/>
        <v>0.098</v>
      </c>
      <c r="I53" s="85">
        <f t="shared" si="8"/>
        <v>0.095</v>
      </c>
      <c r="J53" s="86" t="s">
        <v>53</v>
      </c>
      <c r="L53" s="87" t="s">
        <v>53</v>
      </c>
      <c r="M53" s="61">
        <v>0.03</v>
      </c>
    </row>
    <row r="54" ht="12.75" customHeight="1">
      <c r="A54" s="62"/>
      <c r="B54" s="63" t="s">
        <v>17</v>
      </c>
      <c r="C54" s="132">
        <v>0.2</v>
      </c>
      <c r="D54" s="133">
        <v>9.0</v>
      </c>
      <c r="E54" s="141">
        <v>0.005</v>
      </c>
      <c r="F54" s="220">
        <v>0.203</v>
      </c>
      <c r="G54" s="191">
        <v>0.143</v>
      </c>
      <c r="H54" s="71">
        <f t="shared" si="7"/>
        <v>0.103</v>
      </c>
      <c r="I54" s="72">
        <f t="shared" si="8"/>
        <v>0.1</v>
      </c>
      <c r="J54" s="73" t="s">
        <v>54</v>
      </c>
      <c r="L54" s="74" t="s">
        <v>54</v>
      </c>
      <c r="M54" s="61">
        <v>0.025</v>
      </c>
    </row>
    <row r="55" ht="12.75" customHeight="1">
      <c r="A55" s="48"/>
      <c r="B55" s="7" t="s">
        <v>18</v>
      </c>
      <c r="C55" s="138">
        <v>0.21</v>
      </c>
      <c r="D55" s="97">
        <v>8.0</v>
      </c>
      <c r="E55" s="164">
        <v>0.007</v>
      </c>
      <c r="F55" s="222">
        <v>0.208</v>
      </c>
      <c r="G55" s="195">
        <v>0.148</v>
      </c>
      <c r="H55" s="103">
        <f t="shared" si="7"/>
        <v>0.108</v>
      </c>
      <c r="I55" s="104">
        <f t="shared" si="8"/>
        <v>0.105</v>
      </c>
      <c r="J55" s="105" t="s">
        <v>55</v>
      </c>
      <c r="L55" s="87" t="s">
        <v>55</v>
      </c>
      <c r="M55" s="61">
        <v>0.02</v>
      </c>
    </row>
    <row r="56" ht="12.75" customHeight="1">
      <c r="A56" s="62"/>
      <c r="B56" s="63" t="s">
        <v>19</v>
      </c>
      <c r="C56" s="132">
        <v>0.224</v>
      </c>
      <c r="D56" s="133">
        <v>7.0</v>
      </c>
      <c r="E56" s="141">
        <v>0.006</v>
      </c>
      <c r="F56" s="220">
        <v>0.215</v>
      </c>
      <c r="G56" s="191">
        <v>0.155</v>
      </c>
      <c r="H56" s="71">
        <f t="shared" si="7"/>
        <v>0.115</v>
      </c>
      <c r="I56" s="72">
        <f t="shared" si="8"/>
        <v>0.112</v>
      </c>
      <c r="J56" s="73" t="s">
        <v>56</v>
      </c>
      <c r="L56" s="74" t="s">
        <v>56</v>
      </c>
      <c r="M56" s="61">
        <v>0.013</v>
      </c>
    </row>
    <row r="57" ht="12.75" customHeight="1">
      <c r="A57" s="196" t="s">
        <v>69</v>
      </c>
      <c r="B57" s="7" t="s">
        <v>20</v>
      </c>
      <c r="C57" s="138">
        <v>0.236</v>
      </c>
      <c r="D57" s="79">
        <v>6.0</v>
      </c>
      <c r="E57" s="141">
        <v>0.007</v>
      </c>
      <c r="F57" s="219">
        <v>0.21</v>
      </c>
      <c r="G57" s="193">
        <v>0.161</v>
      </c>
      <c r="H57" s="83">
        <f t="shared" si="7"/>
        <v>0.121</v>
      </c>
      <c r="I57" s="85">
        <f t="shared" si="8"/>
        <v>0.118</v>
      </c>
      <c r="J57" s="86" t="s">
        <v>57</v>
      </c>
      <c r="L57" s="87" t="s">
        <v>57</v>
      </c>
      <c r="M57" s="61">
        <v>0.007</v>
      </c>
    </row>
    <row r="58" ht="12.75" customHeight="1">
      <c r="A58" s="62"/>
      <c r="B58" s="63" t="s">
        <v>21</v>
      </c>
      <c r="C58" s="132">
        <v>0.25</v>
      </c>
      <c r="D58" s="133">
        <v>5.0</v>
      </c>
      <c r="E58" s="141">
        <v>0.0</v>
      </c>
      <c r="F58" s="220">
        <v>0.228</v>
      </c>
      <c r="G58" s="191">
        <v>0.168</v>
      </c>
      <c r="H58" s="71">
        <f t="shared" si="7"/>
        <v>0.128</v>
      </c>
      <c r="I58" s="72">
        <f t="shared" si="8"/>
        <v>0.125</v>
      </c>
      <c r="J58" s="73" t="s">
        <v>58</v>
      </c>
      <c r="L58" s="74" t="s">
        <v>58</v>
      </c>
      <c r="M58" s="61">
        <v>0.0</v>
      </c>
    </row>
    <row r="59" ht="12.75" customHeight="1">
      <c r="A59" s="48"/>
      <c r="B59" s="7" t="s">
        <v>22</v>
      </c>
      <c r="C59" s="138">
        <v>0.0</v>
      </c>
      <c r="D59" s="79">
        <v>4.0</v>
      </c>
      <c r="E59" s="141">
        <v>0.0</v>
      </c>
      <c r="F59" s="219">
        <v>0.0</v>
      </c>
      <c r="G59" s="193">
        <v>0.0</v>
      </c>
      <c r="H59" s="198">
        <v>0.0</v>
      </c>
      <c r="I59" s="85">
        <f t="shared" si="8"/>
        <v>0</v>
      </c>
      <c r="J59" s="86" t="s">
        <v>59</v>
      </c>
      <c r="L59" s="87" t="s">
        <v>59</v>
      </c>
      <c r="M59" s="61">
        <v>0.0</v>
      </c>
    </row>
    <row r="60" ht="12.75" customHeight="1">
      <c r="A60" s="62"/>
      <c r="B60" s="63" t="s">
        <v>23</v>
      </c>
      <c r="C60" s="132">
        <v>0.0</v>
      </c>
      <c r="D60" s="133">
        <v>3.0</v>
      </c>
      <c r="E60" s="141">
        <v>0.0</v>
      </c>
      <c r="F60" s="220">
        <v>0.0</v>
      </c>
      <c r="G60" s="191">
        <v>0.0</v>
      </c>
      <c r="H60" s="199">
        <v>0.0</v>
      </c>
      <c r="I60" s="227">
        <v>0.0</v>
      </c>
      <c r="J60" s="73" t="s">
        <v>65</v>
      </c>
      <c r="L60" s="74" t="s">
        <v>65</v>
      </c>
      <c r="M60" s="137">
        <v>0.0</v>
      </c>
    </row>
    <row r="61" ht="13.5" customHeight="1">
      <c r="A61" s="48"/>
      <c r="B61" s="7" t="s">
        <v>24</v>
      </c>
      <c r="C61" s="138">
        <v>0.0</v>
      </c>
      <c r="D61" s="79">
        <v>2.0</v>
      </c>
      <c r="E61" s="134">
        <v>0.0</v>
      </c>
      <c r="F61" s="219">
        <v>0.0</v>
      </c>
      <c r="G61" s="193">
        <v>0.0</v>
      </c>
      <c r="H61" s="198">
        <v>0.0</v>
      </c>
      <c r="I61" s="202">
        <v>0.0</v>
      </c>
      <c r="J61" s="86" t="s">
        <v>66</v>
      </c>
      <c r="L61" s="87" t="s">
        <v>66</v>
      </c>
      <c r="M61" s="137">
        <v>0.0</v>
      </c>
    </row>
    <row r="62" ht="12.75" customHeight="1">
      <c r="A62" s="62"/>
      <c r="B62" s="63"/>
      <c r="C62" s="154" t="str">
        <f t="shared" ref="C62:C63" si="9">#REF!</f>
        <v>#REF!</v>
      </c>
      <c r="D62" s="133">
        <v>1.0</v>
      </c>
      <c r="E62" s="134">
        <f>(I63-I62)+E63</f>
        <v>0</v>
      </c>
      <c r="F62" s="136">
        <f>F63</f>
        <v>0</v>
      </c>
      <c r="G62" s="191">
        <v>0.0</v>
      </c>
      <c r="H62" s="199">
        <v>0.0</v>
      </c>
      <c r="I62" s="227">
        <v>0.0</v>
      </c>
      <c r="J62" s="73" t="s">
        <v>67</v>
      </c>
      <c r="L62" s="74" t="s">
        <v>67</v>
      </c>
      <c r="M62" s="137">
        <v>0.0</v>
      </c>
    </row>
    <row r="63" ht="12.75" customHeight="1">
      <c r="A63" s="112"/>
      <c r="B63" s="142"/>
      <c r="C63" s="143" t="str">
        <f t="shared" si="9"/>
        <v>#REF!</v>
      </c>
      <c r="D63" s="115">
        <v>0.0</v>
      </c>
      <c r="E63" s="144">
        <v>0.0</v>
      </c>
      <c r="F63" s="229">
        <v>0.0</v>
      </c>
      <c r="G63" s="204">
        <v>0.0</v>
      </c>
      <c r="H63" s="205">
        <v>0.0</v>
      </c>
      <c r="I63" s="230">
        <v>0.0</v>
      </c>
      <c r="J63" s="123" t="s">
        <v>70</v>
      </c>
      <c r="L63" s="124" t="s">
        <v>70</v>
      </c>
      <c r="M63" s="147">
        <v>0.0</v>
      </c>
    </row>
    <row r="64" ht="12.75" customHeight="1">
      <c r="A64" s="49"/>
      <c r="B64" s="7"/>
      <c r="C64" s="126"/>
      <c r="D64" s="148"/>
      <c r="E64" s="149"/>
      <c r="F64" s="79"/>
      <c r="G64" s="150"/>
      <c r="H64" s="126"/>
      <c r="I64" s="152"/>
      <c r="J64" s="91"/>
    </row>
    <row r="65" ht="12.75" customHeight="1">
      <c r="A65" s="49"/>
      <c r="B65" s="7"/>
      <c r="C65" s="126"/>
      <c r="D65" s="148"/>
      <c r="E65" s="149"/>
      <c r="F65" s="79"/>
      <c r="G65" s="150"/>
      <c r="H65" s="126"/>
      <c r="I65" s="152"/>
      <c r="J65" s="91"/>
      <c r="M65" s="49"/>
      <c r="T65" s="156"/>
    </row>
    <row r="66" ht="12.75" customHeight="1">
      <c r="A66" s="5"/>
      <c r="B66" s="156"/>
      <c r="D66" s="49"/>
      <c r="E66" s="49"/>
      <c r="F66" s="49"/>
      <c r="G66" s="49"/>
      <c r="J66" s="157"/>
      <c r="M66" s="49"/>
      <c r="T66" s="157"/>
    </row>
    <row r="67" ht="12.75" customHeight="1">
      <c r="A67" s="5"/>
      <c r="B67" s="158"/>
      <c r="M67" s="49"/>
      <c r="T67" s="157"/>
    </row>
    <row r="68" ht="12.75" customHeight="1">
      <c r="A68" s="5"/>
      <c r="B68" s="159"/>
      <c r="D68" s="49"/>
      <c r="E68" s="49"/>
      <c r="F68" s="49"/>
      <c r="G68" s="49"/>
      <c r="K68" s="156"/>
      <c r="M68" s="49"/>
      <c r="T68" s="157"/>
    </row>
    <row r="69" ht="12.75" customHeight="1">
      <c r="A69" s="5"/>
      <c r="B69" s="157"/>
      <c r="D69" s="49"/>
      <c r="E69" s="49"/>
      <c r="F69" s="49"/>
      <c r="G69" s="49"/>
      <c r="K69" s="156"/>
    </row>
    <row r="70" ht="12.75" customHeight="1">
      <c r="A70" s="5"/>
      <c r="B70" s="160"/>
      <c r="M70" s="91"/>
      <c r="N70" s="5"/>
      <c r="O70" s="5"/>
      <c r="P70" s="5"/>
      <c r="Q70" s="5"/>
      <c r="R70" s="91"/>
      <c r="S70" s="46"/>
    </row>
    <row r="71" ht="12.75" customHeight="1">
      <c r="A71" s="91"/>
      <c r="B71" s="7"/>
      <c r="C71" s="46"/>
      <c r="D71" s="46"/>
      <c r="E71" s="46"/>
      <c r="F71" s="46"/>
      <c r="G71" s="46"/>
      <c r="H71" s="91"/>
      <c r="I71" s="91"/>
      <c r="J71" s="91"/>
      <c r="K71" s="91"/>
      <c r="M71" s="91"/>
      <c r="N71" s="49"/>
      <c r="O71" s="49"/>
      <c r="P71" s="49"/>
      <c r="Q71" s="49"/>
      <c r="R71" s="46"/>
      <c r="T71" s="46"/>
      <c r="U71" s="7"/>
    </row>
    <row r="72" ht="12.75" customHeight="1">
      <c r="A72" s="7"/>
      <c r="B72" s="128"/>
      <c r="D72" s="7"/>
      <c r="E72" s="7"/>
      <c r="F72" s="7"/>
      <c r="G72" s="7"/>
      <c r="H72" s="7"/>
      <c r="I72" s="7"/>
      <c r="J72" s="7"/>
      <c r="K72" s="7"/>
      <c r="M72" s="7"/>
      <c r="R72" s="7"/>
      <c r="S72" s="7"/>
      <c r="T72" s="7"/>
      <c r="U72" s="7"/>
    </row>
    <row r="73" ht="12.75" customHeight="1">
      <c r="A73" s="7"/>
      <c r="B73" s="10"/>
      <c r="C73" s="76"/>
      <c r="D73" s="162"/>
      <c r="E73" s="162"/>
      <c r="F73" s="162"/>
      <c r="G73" s="162"/>
      <c r="H73" s="162"/>
      <c r="I73" s="162"/>
      <c r="J73" s="91"/>
      <c r="K73" s="91"/>
      <c r="M73" s="7"/>
      <c r="N73" s="10"/>
      <c r="O73" s="10"/>
      <c r="P73" s="10"/>
      <c r="Q73" s="10"/>
      <c r="R73" s="162"/>
      <c r="S73" s="162"/>
      <c r="T73" s="162"/>
      <c r="U73" s="91"/>
    </row>
    <row r="74" ht="12.75" customHeight="1">
      <c r="B74" s="7"/>
      <c r="C74" s="76"/>
      <c r="D74" s="76"/>
      <c r="E74" s="76"/>
      <c r="F74" s="76"/>
      <c r="G74" s="76"/>
      <c r="H74" s="76"/>
      <c r="I74" s="76"/>
      <c r="J74" s="91"/>
      <c r="K74" s="49"/>
      <c r="L74" s="7"/>
      <c r="M74" s="126"/>
      <c r="N74" s="10"/>
      <c r="O74" s="10"/>
      <c r="P74" s="10"/>
      <c r="Q74" s="10"/>
      <c r="R74" s="162"/>
      <c r="S74" s="162"/>
      <c r="T74" s="162"/>
      <c r="U74" s="91"/>
      <c r="V74" s="88"/>
    </row>
    <row r="75" ht="12.75" customHeight="1">
      <c r="B75" s="7"/>
      <c r="C75" s="76"/>
      <c r="D75" s="76"/>
      <c r="E75" s="76"/>
      <c r="F75" s="76"/>
      <c r="G75" s="151" t="s">
        <v>71</v>
      </c>
      <c r="H75" s="153"/>
      <c r="I75" s="155"/>
      <c r="J75" s="91"/>
      <c r="K75" s="49"/>
      <c r="L75" s="7"/>
      <c r="M75" s="126"/>
      <c r="N75" s="10"/>
      <c r="O75" s="10"/>
      <c r="P75" s="10"/>
      <c r="Q75" s="10"/>
      <c r="R75" s="162"/>
      <c r="S75" s="162"/>
      <c r="T75" s="162"/>
      <c r="U75" s="91"/>
      <c r="V75" s="91"/>
    </row>
    <row r="76" ht="12.75" customHeight="1">
      <c r="D76" s="127"/>
      <c r="E76" s="127"/>
      <c r="F76" s="127"/>
      <c r="G76" s="127"/>
      <c r="H76" s="128"/>
      <c r="L76" s="35" t="s">
        <v>30</v>
      </c>
      <c r="N76" s="10"/>
      <c r="O76" s="10"/>
      <c r="P76" s="10"/>
      <c r="Q76" s="10"/>
      <c r="R76" s="162"/>
      <c r="S76" s="162"/>
      <c r="T76" s="162"/>
      <c r="U76" s="91"/>
      <c r="V76" s="91"/>
    </row>
    <row r="77" ht="12.75" customHeight="1">
      <c r="A77" s="129"/>
      <c r="B77" s="34"/>
      <c r="C77" s="36" t="s">
        <v>31</v>
      </c>
      <c r="D77" s="36" t="s">
        <v>33</v>
      </c>
      <c r="E77" s="37" t="s">
        <v>35</v>
      </c>
      <c r="F77" s="45" t="s">
        <v>41</v>
      </c>
      <c r="G77" s="47" t="s">
        <v>42</v>
      </c>
      <c r="H77" s="40" t="s">
        <v>38</v>
      </c>
      <c r="I77" s="41" t="s">
        <v>39</v>
      </c>
      <c r="J77" s="130"/>
      <c r="L77" s="43" t="s">
        <v>33</v>
      </c>
      <c r="M77" s="44" t="s">
        <v>40</v>
      </c>
      <c r="N77" s="10"/>
      <c r="O77" s="10"/>
      <c r="P77" s="10"/>
      <c r="Q77" s="10"/>
      <c r="R77" s="162"/>
      <c r="S77" s="162"/>
      <c r="T77" s="162"/>
      <c r="U77" s="91"/>
      <c r="V77" s="88"/>
    </row>
    <row r="78" ht="12.75" customHeight="1">
      <c r="A78" s="131"/>
      <c r="B78" s="7" t="s">
        <v>3</v>
      </c>
      <c r="C78" s="49" t="s">
        <v>43</v>
      </c>
      <c r="D78" s="7" t="s">
        <v>44</v>
      </c>
      <c r="E78" s="52"/>
      <c r="F78" s="53" t="s">
        <v>46</v>
      </c>
      <c r="G78" s="54" t="s">
        <v>46</v>
      </c>
      <c r="H78" s="56" t="s">
        <v>47</v>
      </c>
      <c r="I78" s="58" t="s">
        <v>37</v>
      </c>
      <c r="J78" s="59" t="s">
        <v>33</v>
      </c>
      <c r="L78" s="60"/>
      <c r="M78" s="61" t="s">
        <v>80</v>
      </c>
      <c r="N78" s="10"/>
      <c r="O78" s="10"/>
      <c r="P78" s="10"/>
      <c r="Q78" s="10"/>
      <c r="R78" s="162"/>
      <c r="S78" s="162"/>
      <c r="T78" s="162"/>
      <c r="U78" s="91"/>
      <c r="V78" s="91"/>
    </row>
    <row r="79" ht="12.75" customHeight="1">
      <c r="A79" s="62"/>
      <c r="B79" s="63" t="s">
        <v>5</v>
      </c>
      <c r="C79" s="135">
        <f t="shared" ref="C79:C90" si="10">J4</f>
        <v>0.228</v>
      </c>
      <c r="D79" s="133">
        <v>13.0</v>
      </c>
      <c r="E79" s="141">
        <v>0.007</v>
      </c>
      <c r="F79" s="136">
        <f t="shared" ref="F79:F90" si="11">I79+$D$17</f>
        <v>0.214</v>
      </c>
      <c r="G79" s="70">
        <f t="shared" ref="G79:G90" si="12">I79+$D$18</f>
        <v>0.154</v>
      </c>
      <c r="H79" s="71">
        <f t="shared" ref="H79:H92" si="13">I79+0.003</f>
        <v>0.117</v>
      </c>
      <c r="I79" s="72">
        <f t="shared" ref="I79:I88" si="14">C79/2</f>
        <v>0.114</v>
      </c>
      <c r="J79" s="73" t="s">
        <v>49</v>
      </c>
      <c r="L79" s="74" t="s">
        <v>49</v>
      </c>
      <c r="M79" s="61">
        <v>0.049</v>
      </c>
      <c r="N79" s="10"/>
      <c r="O79" s="10"/>
      <c r="P79" s="10"/>
      <c r="Q79" s="10"/>
      <c r="R79" s="162"/>
      <c r="S79" s="162"/>
      <c r="T79" s="162"/>
      <c r="U79" s="91"/>
      <c r="V79" s="91"/>
    </row>
    <row r="80" ht="12.75" customHeight="1">
      <c r="A80" s="77" t="s">
        <v>69</v>
      </c>
      <c r="B80" s="7" t="s">
        <v>9</v>
      </c>
      <c r="C80" s="20">
        <f t="shared" si="10"/>
        <v>0.242</v>
      </c>
      <c r="D80" s="79">
        <v>12.0</v>
      </c>
      <c r="E80" s="141">
        <v>0.008</v>
      </c>
      <c r="F80" s="139">
        <f t="shared" si="11"/>
        <v>0.221</v>
      </c>
      <c r="G80" s="82">
        <f t="shared" si="12"/>
        <v>0.161</v>
      </c>
      <c r="H80" s="83">
        <f t="shared" si="13"/>
        <v>0.124</v>
      </c>
      <c r="I80" s="85">
        <f t="shared" si="14"/>
        <v>0.121</v>
      </c>
      <c r="J80" s="86" t="s">
        <v>51</v>
      </c>
      <c r="L80" s="87" t="s">
        <v>51</v>
      </c>
      <c r="M80" s="61">
        <v>0.042</v>
      </c>
      <c r="N80" s="10"/>
      <c r="O80" s="10"/>
      <c r="P80" s="10"/>
      <c r="Q80" s="10"/>
      <c r="R80" s="162"/>
      <c r="S80" s="162"/>
      <c r="T80" s="162"/>
      <c r="U80" s="91"/>
      <c r="V80" s="88"/>
    </row>
    <row r="81" ht="12.75" customHeight="1">
      <c r="A81" s="62"/>
      <c r="B81" s="63" t="s">
        <v>13</v>
      </c>
      <c r="C81" s="135">
        <f t="shared" si="10"/>
        <v>0.258</v>
      </c>
      <c r="D81" s="133">
        <v>11.0</v>
      </c>
      <c r="E81" s="141">
        <v>0.007</v>
      </c>
      <c r="F81" s="136">
        <f t="shared" si="11"/>
        <v>0.229</v>
      </c>
      <c r="G81" s="70">
        <f t="shared" si="12"/>
        <v>0.169</v>
      </c>
      <c r="H81" s="71">
        <f t="shared" si="13"/>
        <v>0.132</v>
      </c>
      <c r="I81" s="72">
        <f t="shared" si="14"/>
        <v>0.129</v>
      </c>
      <c r="J81" s="73" t="s">
        <v>52</v>
      </c>
      <c r="L81" s="74" t="s">
        <v>52</v>
      </c>
      <c r="M81" s="61">
        <v>0.034</v>
      </c>
      <c r="N81" s="10"/>
      <c r="O81" s="10"/>
      <c r="P81" s="10"/>
      <c r="Q81" s="10"/>
      <c r="R81" s="162"/>
      <c r="S81" s="162"/>
      <c r="T81" s="162"/>
      <c r="U81" s="91"/>
      <c r="V81" s="91"/>
    </row>
    <row r="82" ht="12.75" customHeight="1">
      <c r="A82" s="48"/>
      <c r="B82" s="7" t="s">
        <v>16</v>
      </c>
      <c r="C82" s="20">
        <f t="shared" si="10"/>
        <v>0.272</v>
      </c>
      <c r="D82" s="79">
        <v>10.0</v>
      </c>
      <c r="E82" s="141">
        <v>0.005</v>
      </c>
      <c r="F82" s="139">
        <f t="shared" si="11"/>
        <v>0.236</v>
      </c>
      <c r="G82" s="82">
        <f t="shared" si="12"/>
        <v>0.176</v>
      </c>
      <c r="H82" s="83">
        <f t="shared" si="13"/>
        <v>0.139</v>
      </c>
      <c r="I82" s="85">
        <f t="shared" si="14"/>
        <v>0.136</v>
      </c>
      <c r="J82" s="86" t="s">
        <v>53</v>
      </c>
      <c r="L82" s="87" t="s">
        <v>53</v>
      </c>
      <c r="M82" s="61">
        <v>0.027</v>
      </c>
      <c r="N82" s="10"/>
      <c r="O82" s="10"/>
      <c r="P82" s="10"/>
      <c r="Q82" s="10"/>
      <c r="R82" s="162"/>
      <c r="S82" s="162"/>
      <c r="T82" s="162"/>
      <c r="U82" s="91"/>
    </row>
    <row r="83" ht="12.75" customHeight="1">
      <c r="A83" s="62"/>
      <c r="B83" s="63" t="s">
        <v>17</v>
      </c>
      <c r="C83" s="135">
        <f t="shared" si="10"/>
        <v>0.282</v>
      </c>
      <c r="D83" s="133">
        <v>9.0</v>
      </c>
      <c r="E83" s="141">
        <v>0.008</v>
      </c>
      <c r="F83" s="136">
        <f t="shared" si="11"/>
        <v>0.241</v>
      </c>
      <c r="G83" s="70">
        <f t="shared" si="12"/>
        <v>0.181</v>
      </c>
      <c r="H83" s="71">
        <f t="shared" si="13"/>
        <v>0.144</v>
      </c>
      <c r="I83" s="72">
        <f t="shared" si="14"/>
        <v>0.141</v>
      </c>
      <c r="J83" s="73" t="s">
        <v>54</v>
      </c>
      <c r="L83" s="74" t="s">
        <v>54</v>
      </c>
      <c r="M83" s="61">
        <v>0.022</v>
      </c>
      <c r="N83" s="10"/>
      <c r="O83" s="10"/>
      <c r="P83" s="10"/>
      <c r="Q83" s="10"/>
      <c r="R83" s="162"/>
      <c r="S83" s="162"/>
      <c r="T83" s="162"/>
      <c r="U83" s="91"/>
      <c r="V83" s="91"/>
    </row>
    <row r="84" ht="12.75" customHeight="1">
      <c r="A84" s="48"/>
      <c r="B84" s="7" t="s">
        <v>18</v>
      </c>
      <c r="C84" s="20">
        <f t="shared" si="10"/>
        <v>0.298</v>
      </c>
      <c r="D84" s="97">
        <v>8.0</v>
      </c>
      <c r="E84" s="164">
        <v>0.007</v>
      </c>
      <c r="F84" s="165">
        <f t="shared" si="11"/>
        <v>0.249</v>
      </c>
      <c r="G84" s="100">
        <f t="shared" si="12"/>
        <v>0.189</v>
      </c>
      <c r="H84" s="103">
        <f t="shared" si="13"/>
        <v>0.152</v>
      </c>
      <c r="I84" s="104">
        <f t="shared" si="14"/>
        <v>0.149</v>
      </c>
      <c r="J84" s="105" t="s">
        <v>55</v>
      </c>
      <c r="L84" s="87" t="s">
        <v>55</v>
      </c>
      <c r="M84" s="61">
        <v>0.014</v>
      </c>
      <c r="N84" s="10"/>
      <c r="O84" s="10"/>
      <c r="P84" s="10"/>
      <c r="Q84" s="10"/>
      <c r="R84" s="162"/>
      <c r="S84" s="162"/>
      <c r="T84" s="162"/>
      <c r="U84" s="91"/>
      <c r="V84" s="88"/>
    </row>
    <row r="85" ht="12.75" customHeight="1">
      <c r="A85" s="62"/>
      <c r="B85" s="63" t="s">
        <v>19</v>
      </c>
      <c r="C85" s="135">
        <f t="shared" si="10"/>
        <v>0.312</v>
      </c>
      <c r="D85" s="133">
        <v>7.0</v>
      </c>
      <c r="E85" s="141">
        <v>0.007</v>
      </c>
      <c r="F85" s="136">
        <f t="shared" si="11"/>
        <v>0.256</v>
      </c>
      <c r="G85" s="70">
        <f t="shared" si="12"/>
        <v>0.196</v>
      </c>
      <c r="H85" s="71">
        <f t="shared" si="13"/>
        <v>0.159</v>
      </c>
      <c r="I85" s="72">
        <f t="shared" si="14"/>
        <v>0.156</v>
      </c>
      <c r="J85" s="73" t="s">
        <v>56</v>
      </c>
      <c r="L85" s="74" t="s">
        <v>56</v>
      </c>
      <c r="M85" s="61">
        <v>0.007</v>
      </c>
      <c r="N85" s="76"/>
      <c r="O85" s="76"/>
      <c r="P85" s="76"/>
      <c r="Q85" s="76"/>
      <c r="R85" s="162"/>
      <c r="S85" s="162"/>
      <c r="T85" s="162"/>
      <c r="U85" s="7"/>
      <c r="V85" s="7"/>
    </row>
    <row r="86" ht="12.75" customHeight="1">
      <c r="A86" s="48"/>
      <c r="B86" s="7" t="s">
        <v>20</v>
      </c>
      <c r="C86" s="20">
        <f t="shared" si="10"/>
        <v>0.326</v>
      </c>
      <c r="D86" s="79">
        <v>6.0</v>
      </c>
      <c r="E86" s="141">
        <v>0.0</v>
      </c>
      <c r="F86" s="139">
        <f t="shared" si="11"/>
        <v>0.263</v>
      </c>
      <c r="G86" s="82">
        <f t="shared" si="12"/>
        <v>0.203</v>
      </c>
      <c r="H86" s="83">
        <f t="shared" si="13"/>
        <v>0.166</v>
      </c>
      <c r="I86" s="85">
        <f t="shared" si="14"/>
        <v>0.163</v>
      </c>
      <c r="J86" s="86" t="s">
        <v>57</v>
      </c>
      <c r="L86" s="87" t="s">
        <v>57</v>
      </c>
      <c r="M86" s="61">
        <v>0.0</v>
      </c>
    </row>
    <row r="87" ht="12.75" customHeight="1">
      <c r="A87" s="62"/>
      <c r="B87" s="63" t="s">
        <v>21</v>
      </c>
      <c r="C87" s="135">
        <f t="shared" si="10"/>
        <v>0.326</v>
      </c>
      <c r="D87" s="133">
        <v>5.0</v>
      </c>
      <c r="E87" s="141">
        <v>0.0</v>
      </c>
      <c r="F87" s="136">
        <f t="shared" si="11"/>
        <v>0.263</v>
      </c>
      <c r="G87" s="70">
        <f t="shared" si="12"/>
        <v>0.203</v>
      </c>
      <c r="H87" s="71">
        <f t="shared" si="13"/>
        <v>0.166</v>
      </c>
      <c r="I87" s="72">
        <f t="shared" si="14"/>
        <v>0.163</v>
      </c>
      <c r="J87" s="73" t="s">
        <v>58</v>
      </c>
      <c r="L87" s="74" t="s">
        <v>58</v>
      </c>
      <c r="M87" s="61">
        <v>0.0</v>
      </c>
    </row>
    <row r="88" ht="12.75" customHeight="1">
      <c r="A88" s="48"/>
      <c r="B88" s="7" t="s">
        <v>22</v>
      </c>
      <c r="C88" s="20">
        <f t="shared" si="10"/>
        <v>0</v>
      </c>
      <c r="D88" s="79">
        <v>4.0</v>
      </c>
      <c r="E88" s="141">
        <v>0.0</v>
      </c>
      <c r="F88" s="139">
        <f t="shared" si="11"/>
        <v>0.1</v>
      </c>
      <c r="G88" s="82">
        <f t="shared" si="12"/>
        <v>0.04</v>
      </c>
      <c r="H88" s="83">
        <f t="shared" si="13"/>
        <v>0.003</v>
      </c>
      <c r="I88" s="85">
        <f t="shared" si="14"/>
        <v>0</v>
      </c>
      <c r="J88" s="86" t="s">
        <v>59</v>
      </c>
      <c r="L88" s="87" t="s">
        <v>59</v>
      </c>
      <c r="M88" s="61">
        <v>0.0</v>
      </c>
    </row>
    <row r="89" ht="12.75" customHeight="1">
      <c r="A89" s="62"/>
      <c r="B89" s="63" t="s">
        <v>23</v>
      </c>
      <c r="C89" s="135">
        <f t="shared" si="10"/>
        <v>0.338</v>
      </c>
      <c r="D89" s="133">
        <v>3.0</v>
      </c>
      <c r="E89" s="141">
        <v>0.0</v>
      </c>
      <c r="F89" s="136">
        <f t="shared" si="11"/>
        <v>0.1</v>
      </c>
      <c r="G89" s="70">
        <f t="shared" si="12"/>
        <v>0.04</v>
      </c>
      <c r="H89" s="71">
        <f t="shared" si="13"/>
        <v>0.003</v>
      </c>
      <c r="I89" s="227">
        <v>0.0</v>
      </c>
      <c r="J89" s="73" t="s">
        <v>65</v>
      </c>
      <c r="L89" s="74" t="s">
        <v>65</v>
      </c>
      <c r="M89" s="137">
        <v>0.0</v>
      </c>
    </row>
    <row r="90" ht="12.75" customHeight="1">
      <c r="A90" s="48"/>
      <c r="B90" s="7" t="s">
        <v>24</v>
      </c>
      <c r="C90" s="20">
        <f t="shared" si="10"/>
        <v>0.324</v>
      </c>
      <c r="D90" s="79">
        <v>2.0</v>
      </c>
      <c r="E90" s="134">
        <v>0.0</v>
      </c>
      <c r="F90" s="139">
        <f t="shared" si="11"/>
        <v>0.1</v>
      </c>
      <c r="G90" s="82">
        <f t="shared" si="12"/>
        <v>0.04</v>
      </c>
      <c r="H90" s="83">
        <f t="shared" si="13"/>
        <v>0.003</v>
      </c>
      <c r="I90" s="202">
        <v>0.0</v>
      </c>
      <c r="J90" s="86" t="s">
        <v>66</v>
      </c>
      <c r="L90" s="87" t="s">
        <v>66</v>
      </c>
      <c r="M90" s="137">
        <v>0.0</v>
      </c>
    </row>
    <row r="91" ht="12.75" customHeight="1">
      <c r="A91" s="62"/>
      <c r="B91" s="63"/>
      <c r="C91" s="154">
        <f>J15</f>
        <v>0.324</v>
      </c>
      <c r="D91" s="133">
        <v>1.0</v>
      </c>
      <c r="E91" s="134">
        <f>(I92-I91)+E92</f>
        <v>0</v>
      </c>
      <c r="F91" s="136">
        <f>F92</f>
        <v>0.1</v>
      </c>
      <c r="G91" s="70">
        <f t="shared" ref="G91:G92" si="15">G90</f>
        <v>0.04</v>
      </c>
      <c r="H91" s="71">
        <f t="shared" si="13"/>
        <v>0.003</v>
      </c>
      <c r="I91" s="227">
        <v>0.0</v>
      </c>
      <c r="J91" s="73" t="s">
        <v>67</v>
      </c>
      <c r="L91" s="74" t="s">
        <v>67</v>
      </c>
      <c r="M91" s="137">
        <v>0.0</v>
      </c>
    </row>
    <row r="92" ht="12.75" customHeight="1">
      <c r="A92" s="112"/>
      <c r="B92" s="142"/>
      <c r="C92" s="143">
        <f>J15</f>
        <v>0.324</v>
      </c>
      <c r="D92" s="115">
        <v>0.0</v>
      </c>
      <c r="E92" s="144">
        <v>0.0</v>
      </c>
      <c r="F92" s="145">
        <f>F90</f>
        <v>0.1</v>
      </c>
      <c r="G92" s="119">
        <f t="shared" si="15"/>
        <v>0.04</v>
      </c>
      <c r="H92" s="121">
        <f t="shared" si="13"/>
        <v>0.003</v>
      </c>
      <c r="I92" s="230">
        <v>0.0</v>
      </c>
      <c r="J92" s="123" t="s">
        <v>70</v>
      </c>
      <c r="L92" s="124" t="s">
        <v>70</v>
      </c>
      <c r="M92" s="147">
        <v>0.0</v>
      </c>
    </row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5">
    <mergeCell ref="A17:C17"/>
    <mergeCell ref="A18:C18"/>
    <mergeCell ref="G18:I18"/>
    <mergeCell ref="G46:I46"/>
    <mergeCell ref="G75:I75"/>
  </mergeCells>
  <printOptions/>
  <pageMargins bottom="0.75" footer="0.0" header="0.0" left="0.7" right="0.7" top="0.75"/>
  <pageSetup scale="95" orientation="landscape"/>
  <drawing r:id="rId1"/>
  <tableParts count="3"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8.5"/>
    <col customWidth="1" min="3" max="3" width="10.25"/>
    <col customWidth="1" min="4" max="4" width="7.0"/>
    <col customWidth="1" min="5" max="5" width="8.13"/>
    <col customWidth="1" min="6" max="6" width="8.88"/>
    <col customWidth="1" min="7" max="7" width="7.25"/>
    <col customWidth="1" min="8" max="8" width="7.0"/>
    <col customWidth="1" min="9" max="9" width="7.88"/>
    <col customWidth="1" min="10" max="10" width="8.0"/>
    <col customWidth="1" min="11" max="11" width="8.13"/>
    <col customWidth="1" min="12" max="12" width="7.0"/>
    <col customWidth="1" min="13" max="13" width="11.25"/>
    <col customWidth="1" min="14" max="26" width="7.0"/>
  </cols>
  <sheetData>
    <row r="1">
      <c r="A1" s="1"/>
      <c r="G1" s="2" t="s">
        <v>0</v>
      </c>
      <c r="I1" s="3"/>
    </row>
    <row r="2" ht="12.75" customHeight="1">
      <c r="A2" t="s">
        <v>1</v>
      </c>
    </row>
    <row r="3" ht="12.75" customHeight="1">
      <c r="G3" s="4" t="s">
        <v>2</v>
      </c>
      <c r="H3" s="4"/>
      <c r="I3" s="4"/>
      <c r="J3" s="4" t="s">
        <v>3</v>
      </c>
    </row>
    <row r="4" ht="12.75" customHeight="1">
      <c r="A4" s="5" t="s">
        <v>4</v>
      </c>
      <c r="B4" s="6" t="s">
        <v>101</v>
      </c>
      <c r="G4" s="7" t="s">
        <v>5</v>
      </c>
      <c r="H4" s="8">
        <v>0.049</v>
      </c>
      <c r="I4" t="s">
        <v>6</v>
      </c>
      <c r="J4" s="9">
        <v>0.196</v>
      </c>
      <c r="K4" t="s">
        <v>6</v>
      </c>
      <c r="R4" s="10"/>
    </row>
    <row r="5" ht="12.75" customHeight="1">
      <c r="A5" s="5" t="s">
        <v>8</v>
      </c>
      <c r="B5" s="6" t="s">
        <v>102</v>
      </c>
      <c r="G5" s="7" t="s">
        <v>9</v>
      </c>
      <c r="H5" s="8">
        <v>0.064</v>
      </c>
      <c r="J5" s="9">
        <v>0.211</v>
      </c>
      <c r="R5" s="10"/>
    </row>
    <row r="6" ht="12.75" customHeight="1">
      <c r="A6" s="5" t="s">
        <v>10</v>
      </c>
      <c r="B6" s="12" t="s">
        <v>103</v>
      </c>
      <c r="G6" s="7" t="s">
        <v>13</v>
      </c>
      <c r="H6" s="8">
        <v>0.079</v>
      </c>
      <c r="J6" s="9">
        <v>0.225</v>
      </c>
      <c r="R6" s="10"/>
    </row>
    <row r="7" ht="12.75" customHeight="1">
      <c r="A7" s="5" t="s">
        <v>14</v>
      </c>
      <c r="B7" s="13">
        <v>0.225</v>
      </c>
      <c r="G7" s="7" t="s">
        <v>16</v>
      </c>
      <c r="H7" s="8">
        <v>0.094</v>
      </c>
      <c r="J7" s="9">
        <v>0.24</v>
      </c>
      <c r="R7" s="10"/>
    </row>
    <row r="8" ht="12.75" customHeight="1">
      <c r="G8" s="7" t="s">
        <v>17</v>
      </c>
      <c r="H8" s="8">
        <v>0.109</v>
      </c>
      <c r="J8" s="9">
        <v>0.254</v>
      </c>
      <c r="R8" s="10"/>
    </row>
    <row r="9" ht="12.75" customHeight="1">
      <c r="G9" s="7" t="s">
        <v>18</v>
      </c>
      <c r="H9" s="8">
        <v>0.124</v>
      </c>
      <c r="J9" s="9">
        <v>0.269</v>
      </c>
      <c r="R9" s="10"/>
    </row>
    <row r="10" ht="12.75" customHeight="1">
      <c r="G10" s="7" t="s">
        <v>19</v>
      </c>
      <c r="H10" s="8">
        <v>0.139</v>
      </c>
      <c r="J10" s="9">
        <v>0.283</v>
      </c>
      <c r="R10" s="10"/>
    </row>
    <row r="11" ht="12.75" customHeight="1">
      <c r="G11" s="7" t="s">
        <v>20</v>
      </c>
      <c r="H11" s="8">
        <v>0.154</v>
      </c>
      <c r="J11" s="9">
        <v>0.296</v>
      </c>
      <c r="R11" s="10"/>
    </row>
    <row r="12" ht="12.75" customHeight="1">
      <c r="G12" s="7" t="s">
        <v>21</v>
      </c>
      <c r="H12" s="8">
        <v>0.169</v>
      </c>
      <c r="J12" s="9">
        <v>0.313</v>
      </c>
      <c r="R12" s="10"/>
    </row>
    <row r="13" ht="12.75" customHeight="1">
      <c r="G13" s="7" t="s">
        <v>22</v>
      </c>
      <c r="H13" s="8">
        <v>0.184</v>
      </c>
      <c r="J13" s="9">
        <v>0.328</v>
      </c>
      <c r="R13" s="10"/>
    </row>
    <row r="14" ht="12.75" customHeight="1">
      <c r="G14" s="7" t="s">
        <v>23</v>
      </c>
      <c r="H14" s="8">
        <v>0.199</v>
      </c>
      <c r="J14" s="9">
        <v>0.342</v>
      </c>
      <c r="R14" s="10"/>
    </row>
    <row r="15" ht="12.75" customHeight="1">
      <c r="G15" s="7" t="s">
        <v>24</v>
      </c>
      <c r="H15" s="8">
        <v>0.214</v>
      </c>
      <c r="I15" t="s">
        <v>6</v>
      </c>
      <c r="J15" s="9">
        <v>0.357</v>
      </c>
      <c r="K15" t="s">
        <v>6</v>
      </c>
      <c r="R15" s="10"/>
    </row>
    <row r="16" ht="12.75" customHeight="1">
      <c r="G16" s="17" t="s">
        <v>25</v>
      </c>
      <c r="H16" s="18">
        <f>H15</f>
        <v>0.214</v>
      </c>
      <c r="I16" s="19"/>
      <c r="J16" s="18">
        <f>J15</f>
        <v>0.357</v>
      </c>
      <c r="K16" s="18"/>
      <c r="M16" s="20"/>
      <c r="R16" s="10"/>
    </row>
    <row r="17" ht="13.5" customHeight="1">
      <c r="A17" s="4" t="s">
        <v>26</v>
      </c>
      <c r="D17" s="21">
        <v>0.07</v>
      </c>
      <c r="G17" s="17" t="s">
        <v>68</v>
      </c>
      <c r="H17" s="18">
        <f>H15</f>
        <v>0.214</v>
      </c>
      <c r="I17" s="19"/>
      <c r="J17" s="17">
        <v>0.294</v>
      </c>
      <c r="K17" s="18"/>
      <c r="M17" s="20"/>
      <c r="R17" s="10"/>
    </row>
    <row r="18" ht="13.5" customHeight="1">
      <c r="A18" s="4" t="s">
        <v>28</v>
      </c>
      <c r="D18" s="25">
        <v>0.03</v>
      </c>
      <c r="G18" s="168" t="s">
        <v>29</v>
      </c>
      <c r="H18" s="153"/>
      <c r="I18" s="155"/>
      <c r="J18" s="7"/>
      <c r="K18" s="26"/>
      <c r="M18" s="20"/>
      <c r="R18" s="10"/>
    </row>
    <row r="19">
      <c r="D19" s="32"/>
      <c r="G19" s="32"/>
      <c r="J19" s="7"/>
      <c r="L19" s="35" t="s">
        <v>30</v>
      </c>
    </row>
    <row r="20" ht="12.75" customHeight="1">
      <c r="A20" s="33"/>
      <c r="B20" s="34"/>
      <c r="C20" s="36" t="s">
        <v>31</v>
      </c>
      <c r="D20" s="36" t="s">
        <v>33</v>
      </c>
      <c r="E20" s="37" t="s">
        <v>35</v>
      </c>
      <c r="F20" s="45" t="s">
        <v>41</v>
      </c>
      <c r="G20" s="47" t="s">
        <v>42</v>
      </c>
      <c r="H20" s="40" t="s">
        <v>38</v>
      </c>
      <c r="I20" s="41" t="s">
        <v>39</v>
      </c>
      <c r="J20" s="42"/>
      <c r="L20" s="43" t="s">
        <v>33</v>
      </c>
      <c r="M20" s="44" t="s">
        <v>40</v>
      </c>
      <c r="O20" s="46"/>
    </row>
    <row r="21" ht="12.75" customHeight="1">
      <c r="A21" s="48"/>
      <c r="B21" s="7" t="s">
        <v>2</v>
      </c>
      <c r="C21" s="49" t="s">
        <v>43</v>
      </c>
      <c r="D21" s="7" t="s">
        <v>44</v>
      </c>
      <c r="E21" s="52"/>
      <c r="F21" s="53" t="s">
        <v>46</v>
      </c>
      <c r="G21" s="54" t="s">
        <v>46</v>
      </c>
      <c r="H21" s="56" t="s">
        <v>47</v>
      </c>
      <c r="I21" s="58" t="s">
        <v>37</v>
      </c>
      <c r="J21" s="59" t="s">
        <v>33</v>
      </c>
      <c r="L21" s="60"/>
      <c r="M21" s="61" t="s">
        <v>80</v>
      </c>
      <c r="O21" s="7"/>
      <c r="W21" s="20"/>
    </row>
    <row r="22" ht="13.5" customHeight="1">
      <c r="A22" s="62"/>
      <c r="B22" s="63" t="s">
        <v>5</v>
      </c>
      <c r="C22" s="65">
        <f t="shared" ref="C22:C32" si="1">H4</f>
        <v>0.049</v>
      </c>
      <c r="D22" s="66">
        <v>13.0</v>
      </c>
      <c r="E22" s="174">
        <v>0.0075</v>
      </c>
      <c r="F22" s="68">
        <f t="shared" ref="F22:F32" si="2">I22+$D$17</f>
        <v>0.0945</v>
      </c>
      <c r="G22" s="70">
        <f t="shared" ref="G22:G32" si="3">I22+$D$18</f>
        <v>0.0545</v>
      </c>
      <c r="H22" s="71">
        <f t="shared" ref="H22:H32" si="4">I22+0.003</f>
        <v>0.0275</v>
      </c>
      <c r="I22" s="72">
        <f t="shared" ref="I22:I32" si="5">C22/2</f>
        <v>0.0245</v>
      </c>
      <c r="J22" s="73" t="s">
        <v>49</v>
      </c>
      <c r="L22" s="74" t="s">
        <v>49</v>
      </c>
      <c r="M22" s="75">
        <v>0.08250000000000002</v>
      </c>
      <c r="O22" s="76"/>
      <c r="W22" s="20"/>
    </row>
    <row r="23" ht="13.5" customHeight="1">
      <c r="A23" s="77" t="s">
        <v>50</v>
      </c>
      <c r="B23" s="7" t="s">
        <v>9</v>
      </c>
      <c r="C23" s="76">
        <f t="shared" si="1"/>
        <v>0.064</v>
      </c>
      <c r="D23" s="79">
        <v>12.0</v>
      </c>
      <c r="E23" s="93">
        <v>0.0075</v>
      </c>
      <c r="F23" s="81">
        <f t="shared" si="2"/>
        <v>0.102</v>
      </c>
      <c r="G23" s="82">
        <f t="shared" si="3"/>
        <v>0.062</v>
      </c>
      <c r="H23" s="83">
        <f t="shared" si="4"/>
        <v>0.035</v>
      </c>
      <c r="I23" s="85">
        <f t="shared" si="5"/>
        <v>0.032</v>
      </c>
      <c r="J23" s="86" t="s">
        <v>51</v>
      </c>
      <c r="L23" s="87" t="s">
        <v>51</v>
      </c>
      <c r="M23" s="75">
        <v>0.07500000000000001</v>
      </c>
      <c r="O23" s="76"/>
      <c r="U23" s="88"/>
      <c r="W23" s="4"/>
    </row>
    <row r="24" ht="13.5" customHeight="1">
      <c r="A24" s="62"/>
      <c r="B24" s="63" t="s">
        <v>13</v>
      </c>
      <c r="C24" s="65">
        <f t="shared" si="1"/>
        <v>0.079</v>
      </c>
      <c r="D24" s="66">
        <v>11.0</v>
      </c>
      <c r="E24" s="92">
        <v>0.0075</v>
      </c>
      <c r="F24" s="68">
        <f t="shared" si="2"/>
        <v>0.1095</v>
      </c>
      <c r="G24" s="70">
        <f t="shared" si="3"/>
        <v>0.0695</v>
      </c>
      <c r="H24" s="71">
        <f t="shared" si="4"/>
        <v>0.0425</v>
      </c>
      <c r="I24" s="72">
        <f t="shared" si="5"/>
        <v>0.0395</v>
      </c>
      <c r="J24" s="73" t="s">
        <v>52</v>
      </c>
      <c r="L24" s="74" t="s">
        <v>52</v>
      </c>
      <c r="M24" s="75">
        <v>0.0675</v>
      </c>
      <c r="O24" s="76"/>
      <c r="U24" s="91"/>
      <c r="W24" s="4"/>
    </row>
    <row r="25" ht="13.5" customHeight="1">
      <c r="A25" s="48"/>
      <c r="B25" s="7" t="s">
        <v>16</v>
      </c>
      <c r="C25" s="76">
        <f t="shared" si="1"/>
        <v>0.094</v>
      </c>
      <c r="D25" s="79">
        <v>10.0</v>
      </c>
      <c r="E25" s="93">
        <v>0.0075</v>
      </c>
      <c r="F25" s="81">
        <f t="shared" si="2"/>
        <v>0.117</v>
      </c>
      <c r="G25" s="82">
        <f t="shared" si="3"/>
        <v>0.077</v>
      </c>
      <c r="H25" s="83">
        <f t="shared" si="4"/>
        <v>0.05</v>
      </c>
      <c r="I25" s="85">
        <f t="shared" si="5"/>
        <v>0.047</v>
      </c>
      <c r="J25" s="86" t="s">
        <v>53</v>
      </c>
      <c r="L25" s="87" t="s">
        <v>53</v>
      </c>
      <c r="M25" s="75">
        <v>0.06</v>
      </c>
      <c r="O25" s="76"/>
      <c r="U25" s="91"/>
      <c r="W25" s="20"/>
    </row>
    <row r="26" ht="13.5" customHeight="1">
      <c r="A26" s="62"/>
      <c r="B26" s="63" t="s">
        <v>17</v>
      </c>
      <c r="C26" s="65">
        <f t="shared" si="1"/>
        <v>0.109</v>
      </c>
      <c r="D26" s="66">
        <v>9.0</v>
      </c>
      <c r="E26" s="92">
        <v>0.0075</v>
      </c>
      <c r="F26" s="68">
        <f t="shared" si="2"/>
        <v>0.1245</v>
      </c>
      <c r="G26" s="70">
        <f t="shared" si="3"/>
        <v>0.0845</v>
      </c>
      <c r="H26" s="71">
        <f t="shared" si="4"/>
        <v>0.0575</v>
      </c>
      <c r="I26" s="72">
        <f t="shared" si="5"/>
        <v>0.0545</v>
      </c>
      <c r="J26" s="73" t="s">
        <v>54</v>
      </c>
      <c r="L26" s="74" t="s">
        <v>54</v>
      </c>
      <c r="M26" s="75">
        <v>0.0525</v>
      </c>
      <c r="O26" s="76"/>
      <c r="U26" s="88"/>
    </row>
    <row r="27" ht="13.5" customHeight="1">
      <c r="A27" s="48"/>
      <c r="B27" s="7" t="s">
        <v>18</v>
      </c>
      <c r="C27" s="76">
        <f t="shared" si="1"/>
        <v>0.124</v>
      </c>
      <c r="D27" s="97">
        <v>8.0</v>
      </c>
      <c r="E27" s="98">
        <v>0.0075</v>
      </c>
      <c r="F27" s="99">
        <f t="shared" si="2"/>
        <v>0.132</v>
      </c>
      <c r="G27" s="100">
        <f t="shared" si="3"/>
        <v>0.092</v>
      </c>
      <c r="H27" s="103">
        <f t="shared" si="4"/>
        <v>0.065</v>
      </c>
      <c r="I27" s="104">
        <f t="shared" si="5"/>
        <v>0.062</v>
      </c>
      <c r="J27" s="105" t="s">
        <v>55</v>
      </c>
      <c r="L27" s="87" t="s">
        <v>55</v>
      </c>
      <c r="M27" s="75">
        <v>0.045</v>
      </c>
      <c r="O27" s="76"/>
      <c r="U27" s="91"/>
    </row>
    <row r="28" ht="13.5" customHeight="1">
      <c r="A28" s="62"/>
      <c r="B28" s="63" t="s">
        <v>19</v>
      </c>
      <c r="C28" s="65">
        <f t="shared" si="1"/>
        <v>0.139</v>
      </c>
      <c r="D28" s="66">
        <v>7.0</v>
      </c>
      <c r="E28" s="92">
        <v>0.0075</v>
      </c>
      <c r="F28" s="68">
        <f t="shared" si="2"/>
        <v>0.1395</v>
      </c>
      <c r="G28" s="70">
        <f t="shared" si="3"/>
        <v>0.0995</v>
      </c>
      <c r="H28" s="71">
        <f t="shared" si="4"/>
        <v>0.0725</v>
      </c>
      <c r="I28" s="72">
        <f t="shared" si="5"/>
        <v>0.0695</v>
      </c>
      <c r="J28" s="73" t="s">
        <v>56</v>
      </c>
      <c r="L28" s="74" t="s">
        <v>56</v>
      </c>
      <c r="M28" s="75">
        <v>0.03749999999999999</v>
      </c>
      <c r="O28" s="76"/>
      <c r="U28" s="91"/>
    </row>
    <row r="29" ht="13.5" customHeight="1">
      <c r="A29" s="48"/>
      <c r="B29" s="7" t="s">
        <v>20</v>
      </c>
      <c r="C29" s="76">
        <f t="shared" si="1"/>
        <v>0.154</v>
      </c>
      <c r="D29" s="79">
        <v>6.0</v>
      </c>
      <c r="E29" s="93">
        <v>0.0075</v>
      </c>
      <c r="F29" s="81">
        <f t="shared" si="2"/>
        <v>0.147</v>
      </c>
      <c r="G29" s="82">
        <f t="shared" si="3"/>
        <v>0.107</v>
      </c>
      <c r="H29" s="83">
        <f t="shared" si="4"/>
        <v>0.08</v>
      </c>
      <c r="I29" s="85">
        <f t="shared" si="5"/>
        <v>0.077</v>
      </c>
      <c r="J29" s="86" t="s">
        <v>57</v>
      </c>
      <c r="L29" s="87" t="s">
        <v>57</v>
      </c>
      <c r="M29" s="75">
        <v>0.03</v>
      </c>
      <c r="O29" s="76"/>
      <c r="U29" s="88"/>
    </row>
    <row r="30" ht="13.5" customHeight="1">
      <c r="A30" s="62"/>
      <c r="B30" s="63" t="s">
        <v>21</v>
      </c>
      <c r="C30" s="65">
        <f t="shared" si="1"/>
        <v>0.169</v>
      </c>
      <c r="D30" s="66">
        <v>5.0</v>
      </c>
      <c r="E30" s="92">
        <v>0.0075</v>
      </c>
      <c r="F30" s="68">
        <f t="shared" si="2"/>
        <v>0.1545</v>
      </c>
      <c r="G30" s="70">
        <f t="shared" si="3"/>
        <v>0.1145</v>
      </c>
      <c r="H30" s="71">
        <f t="shared" si="4"/>
        <v>0.0875</v>
      </c>
      <c r="I30" s="72">
        <f t="shared" si="5"/>
        <v>0.0845</v>
      </c>
      <c r="J30" s="73" t="s">
        <v>58</v>
      </c>
      <c r="L30" s="74" t="s">
        <v>58</v>
      </c>
      <c r="M30" s="75">
        <v>0.022499999999999992</v>
      </c>
      <c r="O30" s="76"/>
      <c r="U30" s="91"/>
    </row>
    <row r="31" ht="13.5" customHeight="1">
      <c r="A31" s="94"/>
      <c r="B31" s="7" t="s">
        <v>22</v>
      </c>
      <c r="C31" s="76">
        <f t="shared" si="1"/>
        <v>0.184</v>
      </c>
      <c r="D31" s="79">
        <v>4.0</v>
      </c>
      <c r="E31" s="93">
        <v>0.0075</v>
      </c>
      <c r="F31" s="81">
        <f t="shared" si="2"/>
        <v>0.162</v>
      </c>
      <c r="G31" s="82">
        <f t="shared" si="3"/>
        <v>0.122</v>
      </c>
      <c r="H31" s="83">
        <f t="shared" si="4"/>
        <v>0.095</v>
      </c>
      <c r="I31" s="85">
        <f t="shared" si="5"/>
        <v>0.092</v>
      </c>
      <c r="J31" s="86" t="s">
        <v>59</v>
      </c>
      <c r="L31" s="87" t="s">
        <v>59</v>
      </c>
      <c r="M31" s="75">
        <v>0.015</v>
      </c>
      <c r="N31" s="95"/>
      <c r="O31" s="76"/>
    </row>
    <row r="32" ht="13.5" customHeight="1">
      <c r="A32" s="96"/>
      <c r="B32" s="63" t="s">
        <v>23</v>
      </c>
      <c r="C32" s="65">
        <f t="shared" si="1"/>
        <v>0.199</v>
      </c>
      <c r="D32" s="66">
        <v>3.0</v>
      </c>
      <c r="E32" s="92">
        <v>0.0075</v>
      </c>
      <c r="F32" s="68">
        <f t="shared" si="2"/>
        <v>0.1695</v>
      </c>
      <c r="G32" s="70">
        <f t="shared" si="3"/>
        <v>0.1295</v>
      </c>
      <c r="H32" s="71">
        <f t="shared" si="4"/>
        <v>0.1025</v>
      </c>
      <c r="I32" s="72">
        <f t="shared" si="5"/>
        <v>0.0995</v>
      </c>
      <c r="J32" s="73" t="s">
        <v>65</v>
      </c>
      <c r="L32" s="74" t="s">
        <v>65</v>
      </c>
      <c r="M32" s="75">
        <v>0.007499999999999993</v>
      </c>
      <c r="N32" s="95"/>
      <c r="O32" s="76"/>
    </row>
    <row r="33" ht="13.5" customHeight="1">
      <c r="A33" s="94"/>
      <c r="B33" s="24" t="s">
        <v>108</v>
      </c>
      <c r="C33" s="78">
        <v>0.202</v>
      </c>
      <c r="D33" s="79"/>
      <c r="E33" s="80"/>
      <c r="F33" s="81"/>
      <c r="G33" s="82"/>
      <c r="H33" s="83"/>
      <c r="I33" s="85"/>
      <c r="J33" s="86"/>
      <c r="L33" s="87"/>
      <c r="M33" s="75"/>
      <c r="N33" s="95"/>
      <c r="O33" s="76"/>
    </row>
    <row r="34" ht="13.5" customHeight="1">
      <c r="A34" s="102"/>
      <c r="B34" s="206" t="s">
        <v>109</v>
      </c>
      <c r="C34" s="207">
        <v>0.205</v>
      </c>
      <c r="D34" s="208"/>
      <c r="E34" s="90"/>
      <c r="F34" s="209"/>
      <c r="G34" s="210"/>
      <c r="H34" s="211"/>
      <c r="I34" s="212"/>
      <c r="J34" s="213"/>
      <c r="L34" s="74"/>
      <c r="M34" s="75"/>
      <c r="N34" s="95"/>
      <c r="O34" s="76"/>
    </row>
    <row r="35" ht="13.5" customHeight="1">
      <c r="A35" s="214" t="s">
        <v>69</v>
      </c>
      <c r="B35" s="24" t="s">
        <v>110</v>
      </c>
      <c r="C35" s="78">
        <v>0.208</v>
      </c>
      <c r="D35" s="79"/>
      <c r="E35" s="80"/>
      <c r="F35" s="81"/>
      <c r="G35" s="82"/>
      <c r="H35" s="83"/>
      <c r="I35" s="85"/>
      <c r="J35" s="86"/>
      <c r="L35" s="87"/>
      <c r="M35" s="75"/>
      <c r="N35" s="95"/>
      <c r="O35" s="76"/>
    </row>
    <row r="36" ht="13.5" customHeight="1">
      <c r="A36" s="102"/>
      <c r="B36" s="206" t="s">
        <v>111</v>
      </c>
      <c r="C36" s="207">
        <v>0.211</v>
      </c>
      <c r="D36" s="208"/>
      <c r="E36" s="90"/>
      <c r="F36" s="209"/>
      <c r="G36" s="210"/>
      <c r="H36" s="211"/>
      <c r="I36" s="212"/>
      <c r="J36" s="213"/>
      <c r="L36" s="74"/>
      <c r="M36" s="75"/>
      <c r="N36" s="95"/>
      <c r="O36" s="76"/>
    </row>
    <row r="37" ht="13.5" customHeight="1">
      <c r="A37" s="94"/>
      <c r="B37" s="7" t="s">
        <v>24</v>
      </c>
      <c r="C37" s="76">
        <f t="shared" ref="C37:C39" si="6">H15</f>
        <v>0.214</v>
      </c>
      <c r="D37" s="79">
        <v>2.0</v>
      </c>
      <c r="E37" s="80">
        <f t="shared" ref="E37:E38" si="7">(I38-I37)+E38</f>
        <v>0</v>
      </c>
      <c r="F37" s="81">
        <f>I37+$D$17</f>
        <v>0.177</v>
      </c>
      <c r="G37" s="82">
        <f t="shared" ref="G37:G39" si="8">I37+$D$18</f>
        <v>0.137</v>
      </c>
      <c r="H37" s="83">
        <f t="shared" ref="H37:H39" si="9">I37+0.003</f>
        <v>0.11</v>
      </c>
      <c r="I37" s="85">
        <f t="shared" ref="I37:I39" si="10">C37/2</f>
        <v>0.107</v>
      </c>
      <c r="J37" s="86" t="s">
        <v>66</v>
      </c>
      <c r="L37" s="87" t="s">
        <v>66</v>
      </c>
      <c r="M37" s="75">
        <v>0.0</v>
      </c>
      <c r="O37" s="76"/>
    </row>
    <row r="38" ht="13.5" customHeight="1">
      <c r="A38" s="62"/>
      <c r="B38" s="108" t="s">
        <v>25</v>
      </c>
      <c r="C38" s="109">
        <f t="shared" si="6"/>
        <v>0.214</v>
      </c>
      <c r="D38" s="66">
        <v>1.0</v>
      </c>
      <c r="E38" s="90">
        <f t="shared" si="7"/>
        <v>0</v>
      </c>
      <c r="F38" s="68">
        <f>F39</f>
        <v>0.177</v>
      </c>
      <c r="G38" s="70">
        <f t="shared" si="8"/>
        <v>0.137</v>
      </c>
      <c r="H38" s="71">
        <f t="shared" si="9"/>
        <v>0.11</v>
      </c>
      <c r="I38" s="72">
        <f t="shared" si="10"/>
        <v>0.107</v>
      </c>
      <c r="J38" s="73" t="s">
        <v>67</v>
      </c>
      <c r="L38" s="74" t="s">
        <v>67</v>
      </c>
      <c r="M38" s="75">
        <v>0.0</v>
      </c>
      <c r="O38" s="76"/>
    </row>
    <row r="39" ht="13.5" customHeight="1">
      <c r="A39" s="112"/>
      <c r="B39" s="113" t="s">
        <v>68</v>
      </c>
      <c r="C39" s="114">
        <f t="shared" si="6"/>
        <v>0.214</v>
      </c>
      <c r="D39" s="115">
        <v>0.0</v>
      </c>
      <c r="E39" s="116">
        <v>0.0</v>
      </c>
      <c r="F39" s="117">
        <f>F37</f>
        <v>0.177</v>
      </c>
      <c r="G39" s="119">
        <f t="shared" si="8"/>
        <v>0.137</v>
      </c>
      <c r="H39" s="121">
        <f t="shared" si="9"/>
        <v>0.11</v>
      </c>
      <c r="I39" s="122">
        <f t="shared" si="10"/>
        <v>0.107</v>
      </c>
      <c r="J39" s="123" t="s">
        <v>70</v>
      </c>
      <c r="L39" s="124" t="s">
        <v>70</v>
      </c>
      <c r="M39" s="125">
        <v>0.0</v>
      </c>
      <c r="O39" s="76"/>
    </row>
    <row r="40" ht="12.75" customHeight="1">
      <c r="B40" s="7"/>
      <c r="C40" s="76"/>
      <c r="D40" s="76"/>
      <c r="E40" s="76"/>
      <c r="F40" s="76"/>
      <c r="G40" s="76"/>
      <c r="H40" s="76"/>
      <c r="I40" s="76"/>
      <c r="J40" s="91"/>
      <c r="K40" s="49"/>
      <c r="L40" s="7"/>
      <c r="M40" s="126"/>
      <c r="N40" s="126"/>
      <c r="O40" s="126"/>
      <c r="P40" s="126"/>
      <c r="Q40" s="126"/>
      <c r="R40" s="126"/>
      <c r="S40" s="126"/>
      <c r="T40" s="91"/>
    </row>
    <row r="41" ht="12.75" customHeight="1">
      <c r="A41" s="49"/>
      <c r="B41" s="7"/>
      <c r="C41" s="76"/>
      <c r="D41" s="76"/>
      <c r="E41" s="76"/>
      <c r="F41" s="76"/>
      <c r="G41" s="76"/>
      <c r="H41" s="76"/>
      <c r="I41" s="76"/>
      <c r="J41" s="91"/>
      <c r="K41" s="49"/>
      <c r="L41" s="7"/>
      <c r="M41" s="126"/>
      <c r="N41" s="126"/>
      <c r="O41" s="126"/>
      <c r="P41" s="126"/>
      <c r="Q41" s="126"/>
      <c r="R41" s="126"/>
      <c r="S41" s="126"/>
      <c r="T41" s="91"/>
    </row>
    <row r="42" ht="12.75" customHeight="1">
      <c r="B42" s="7"/>
      <c r="C42" s="76"/>
      <c r="D42" s="76"/>
      <c r="E42" s="76"/>
      <c r="F42" s="76"/>
      <c r="G42" s="76"/>
      <c r="H42" s="76"/>
      <c r="I42" s="76"/>
      <c r="J42" s="91"/>
      <c r="K42" s="49"/>
      <c r="L42" s="7"/>
      <c r="M42" s="126"/>
      <c r="N42" s="126"/>
      <c r="O42" s="126"/>
      <c r="P42" s="126"/>
      <c r="Q42" s="126"/>
      <c r="R42" s="126"/>
      <c r="S42" s="126"/>
      <c r="T42" s="91"/>
    </row>
    <row r="43" ht="12.75" customHeight="1">
      <c r="B43" s="7"/>
      <c r="C43" s="76"/>
      <c r="D43" s="76"/>
      <c r="E43" s="76"/>
      <c r="F43" s="76"/>
      <c r="G43" s="76"/>
      <c r="H43" s="76"/>
      <c r="I43" s="76"/>
      <c r="J43" s="91"/>
      <c r="K43" s="49"/>
      <c r="L43" s="7"/>
      <c r="M43" s="126"/>
      <c r="N43" s="126"/>
      <c r="O43" s="126"/>
      <c r="P43" s="126"/>
      <c r="Q43" s="126"/>
      <c r="R43" s="126"/>
      <c r="S43" s="126"/>
      <c r="T43" s="91"/>
    </row>
    <row r="44" ht="12.75" customHeight="1">
      <c r="B44" s="7"/>
      <c r="C44" s="76"/>
      <c r="D44" s="76"/>
      <c r="E44" s="76"/>
      <c r="F44" s="76"/>
      <c r="G44" s="151" t="s">
        <v>71</v>
      </c>
      <c r="H44" s="153"/>
      <c r="I44" s="155"/>
      <c r="J44" s="91"/>
      <c r="K44" s="49"/>
      <c r="L44" s="7"/>
      <c r="M44" s="126"/>
      <c r="N44" s="126"/>
      <c r="O44" s="126"/>
      <c r="P44" s="126"/>
      <c r="Q44" s="126"/>
      <c r="R44" s="126"/>
      <c r="S44" s="126"/>
      <c r="T44" s="91"/>
    </row>
    <row r="45">
      <c r="D45" s="127"/>
      <c r="E45" s="127"/>
      <c r="F45" s="127"/>
      <c r="G45" s="127"/>
      <c r="H45" s="128"/>
      <c r="L45" s="35" t="s">
        <v>30</v>
      </c>
    </row>
    <row r="46" ht="12.75" customHeight="1">
      <c r="A46" s="129"/>
      <c r="B46" s="34"/>
      <c r="C46" s="36" t="s">
        <v>31</v>
      </c>
      <c r="D46" s="36" t="s">
        <v>33</v>
      </c>
      <c r="E46" s="37" t="s">
        <v>35</v>
      </c>
      <c r="F46" s="45" t="s">
        <v>41</v>
      </c>
      <c r="G46" s="47" t="s">
        <v>42</v>
      </c>
      <c r="H46" s="40" t="s">
        <v>38</v>
      </c>
      <c r="I46" s="41" t="s">
        <v>39</v>
      </c>
      <c r="J46" s="130"/>
      <c r="L46" s="43" t="s">
        <v>33</v>
      </c>
      <c r="M46" s="44" t="s">
        <v>40</v>
      </c>
    </row>
    <row r="47" ht="12.75" customHeight="1">
      <c r="A47" s="131"/>
      <c r="B47" s="7" t="s">
        <v>3</v>
      </c>
      <c r="C47" s="49" t="s">
        <v>43</v>
      </c>
      <c r="D47" s="7" t="s">
        <v>44</v>
      </c>
      <c r="E47" s="52"/>
      <c r="F47" s="53" t="s">
        <v>46</v>
      </c>
      <c r="G47" s="54" t="s">
        <v>46</v>
      </c>
      <c r="H47" s="56" t="s">
        <v>47</v>
      </c>
      <c r="I47" s="58" t="s">
        <v>37</v>
      </c>
      <c r="J47" s="59" t="s">
        <v>33</v>
      </c>
      <c r="L47" s="60"/>
      <c r="M47" s="61" t="s">
        <v>80</v>
      </c>
    </row>
    <row r="48" ht="12.75" customHeight="1">
      <c r="A48" s="62"/>
      <c r="B48" s="63" t="s">
        <v>5</v>
      </c>
      <c r="C48" s="135">
        <f t="shared" ref="C48:C59" si="11">J4</f>
        <v>0.196</v>
      </c>
      <c r="D48" s="133">
        <v>13.0</v>
      </c>
      <c r="E48" s="141">
        <v>0.0075</v>
      </c>
      <c r="F48" s="136">
        <f t="shared" ref="F48:F59" si="12">I48+$D$17</f>
        <v>0.168</v>
      </c>
      <c r="G48" s="70">
        <f t="shared" ref="G48:G59" si="13">I48+$D$18</f>
        <v>0.128</v>
      </c>
      <c r="H48" s="71">
        <f t="shared" ref="H48:H61" si="14">I48+0.003</f>
        <v>0.101</v>
      </c>
      <c r="I48" s="72">
        <f t="shared" ref="I48:I61" si="15">C48/2</f>
        <v>0.098</v>
      </c>
      <c r="J48" s="73" t="s">
        <v>49</v>
      </c>
      <c r="L48" s="74" t="s">
        <v>49</v>
      </c>
      <c r="M48" s="137">
        <v>0.08049999999999999</v>
      </c>
    </row>
    <row r="49" ht="12.75" customHeight="1">
      <c r="A49" s="77" t="s">
        <v>69</v>
      </c>
      <c r="B49" s="7" t="s">
        <v>9</v>
      </c>
      <c r="C49" s="20">
        <f t="shared" si="11"/>
        <v>0.211</v>
      </c>
      <c r="D49" s="79">
        <v>12.0</v>
      </c>
      <c r="E49" s="141">
        <v>0.007</v>
      </c>
      <c r="F49" s="139">
        <f t="shared" si="12"/>
        <v>0.1755</v>
      </c>
      <c r="G49" s="82">
        <f t="shared" si="13"/>
        <v>0.1355</v>
      </c>
      <c r="H49" s="83">
        <f t="shared" si="14"/>
        <v>0.1085</v>
      </c>
      <c r="I49" s="85">
        <f t="shared" si="15"/>
        <v>0.1055</v>
      </c>
      <c r="J49" s="86" t="s">
        <v>51</v>
      </c>
      <c r="L49" s="87" t="s">
        <v>51</v>
      </c>
      <c r="M49" s="137">
        <v>0.073</v>
      </c>
    </row>
    <row r="50" ht="12.75" customHeight="1">
      <c r="A50" s="62"/>
      <c r="B50" s="63" t="s">
        <v>13</v>
      </c>
      <c r="C50" s="135">
        <f t="shared" si="11"/>
        <v>0.225</v>
      </c>
      <c r="D50" s="133">
        <v>11.0</v>
      </c>
      <c r="E50" s="141">
        <v>0.0075</v>
      </c>
      <c r="F50" s="136">
        <f t="shared" si="12"/>
        <v>0.1825</v>
      </c>
      <c r="G50" s="70">
        <f t="shared" si="13"/>
        <v>0.1425</v>
      </c>
      <c r="H50" s="71">
        <f t="shared" si="14"/>
        <v>0.1155</v>
      </c>
      <c r="I50" s="72">
        <f t="shared" si="15"/>
        <v>0.1125</v>
      </c>
      <c r="J50" s="73" t="s">
        <v>52</v>
      </c>
      <c r="L50" s="74" t="s">
        <v>52</v>
      </c>
      <c r="M50" s="137">
        <v>0.06599999999999999</v>
      </c>
    </row>
    <row r="51" ht="12.75" customHeight="1">
      <c r="A51" s="48"/>
      <c r="B51" s="7" t="s">
        <v>16</v>
      </c>
      <c r="C51" s="20">
        <f t="shared" si="11"/>
        <v>0.24</v>
      </c>
      <c r="D51" s="79">
        <v>10.0</v>
      </c>
      <c r="E51" s="141">
        <v>0.007</v>
      </c>
      <c r="F51" s="139">
        <f t="shared" si="12"/>
        <v>0.19</v>
      </c>
      <c r="G51" s="82">
        <f t="shared" si="13"/>
        <v>0.15</v>
      </c>
      <c r="H51" s="83">
        <f t="shared" si="14"/>
        <v>0.123</v>
      </c>
      <c r="I51" s="85">
        <f t="shared" si="15"/>
        <v>0.12</v>
      </c>
      <c r="J51" s="86" t="s">
        <v>53</v>
      </c>
      <c r="L51" s="87" t="s">
        <v>53</v>
      </c>
      <c r="M51" s="137">
        <v>0.058499999999999996</v>
      </c>
    </row>
    <row r="52" ht="12.75" customHeight="1">
      <c r="A52" s="62"/>
      <c r="B52" s="63" t="s">
        <v>17</v>
      </c>
      <c r="C52" s="135">
        <f t="shared" si="11"/>
        <v>0.254</v>
      </c>
      <c r="D52" s="133">
        <v>9.0</v>
      </c>
      <c r="E52" s="141">
        <v>0.0075</v>
      </c>
      <c r="F52" s="136">
        <f t="shared" si="12"/>
        <v>0.197</v>
      </c>
      <c r="G52" s="70">
        <f t="shared" si="13"/>
        <v>0.157</v>
      </c>
      <c r="H52" s="71">
        <f t="shared" si="14"/>
        <v>0.13</v>
      </c>
      <c r="I52" s="72">
        <f t="shared" si="15"/>
        <v>0.127</v>
      </c>
      <c r="J52" s="73" t="s">
        <v>54</v>
      </c>
      <c r="L52" s="74" t="s">
        <v>54</v>
      </c>
      <c r="M52" s="137">
        <v>0.05149999999999999</v>
      </c>
    </row>
    <row r="53" ht="12.75" customHeight="1">
      <c r="A53" s="48"/>
      <c r="B53" s="7" t="s">
        <v>18</v>
      </c>
      <c r="C53" s="20">
        <f t="shared" si="11"/>
        <v>0.269</v>
      </c>
      <c r="D53" s="97">
        <v>8.0</v>
      </c>
      <c r="E53" s="164">
        <v>0.007</v>
      </c>
      <c r="F53" s="165">
        <f t="shared" si="12"/>
        <v>0.2045</v>
      </c>
      <c r="G53" s="100">
        <f t="shared" si="13"/>
        <v>0.1645</v>
      </c>
      <c r="H53" s="103">
        <f t="shared" si="14"/>
        <v>0.1375</v>
      </c>
      <c r="I53" s="104">
        <f t="shared" si="15"/>
        <v>0.1345</v>
      </c>
      <c r="J53" s="105" t="s">
        <v>55</v>
      </c>
      <c r="L53" s="87" t="s">
        <v>55</v>
      </c>
      <c r="M53" s="137">
        <v>0.043999999999999984</v>
      </c>
    </row>
    <row r="54" ht="12.75" customHeight="1">
      <c r="A54" s="62"/>
      <c r="B54" s="63" t="s">
        <v>19</v>
      </c>
      <c r="C54" s="135">
        <f t="shared" si="11"/>
        <v>0.283</v>
      </c>
      <c r="D54" s="133">
        <v>7.0</v>
      </c>
      <c r="E54" s="141">
        <v>0.0065</v>
      </c>
      <c r="F54" s="136">
        <f t="shared" si="12"/>
        <v>0.2115</v>
      </c>
      <c r="G54" s="70">
        <f t="shared" si="13"/>
        <v>0.1715</v>
      </c>
      <c r="H54" s="71">
        <f t="shared" si="14"/>
        <v>0.1445</v>
      </c>
      <c r="I54" s="72">
        <f t="shared" si="15"/>
        <v>0.1415</v>
      </c>
      <c r="J54" s="73" t="s">
        <v>56</v>
      </c>
      <c r="L54" s="74" t="s">
        <v>56</v>
      </c>
      <c r="M54" s="137">
        <v>0.037000000000000005</v>
      </c>
    </row>
    <row r="55" ht="12.75" customHeight="1">
      <c r="A55" s="48"/>
      <c r="B55" s="7" t="s">
        <v>20</v>
      </c>
      <c r="C55" s="20">
        <f t="shared" si="11"/>
        <v>0.296</v>
      </c>
      <c r="D55" s="79">
        <v>6.0</v>
      </c>
      <c r="E55" s="141">
        <v>0.0085</v>
      </c>
      <c r="F55" s="139">
        <f t="shared" si="12"/>
        <v>0.218</v>
      </c>
      <c r="G55" s="82">
        <f t="shared" si="13"/>
        <v>0.178</v>
      </c>
      <c r="H55" s="83">
        <f t="shared" si="14"/>
        <v>0.151</v>
      </c>
      <c r="I55" s="85">
        <f t="shared" si="15"/>
        <v>0.148</v>
      </c>
      <c r="J55" s="86" t="s">
        <v>57</v>
      </c>
      <c r="L55" s="87" t="s">
        <v>57</v>
      </c>
      <c r="M55" s="137">
        <v>0.0305</v>
      </c>
    </row>
    <row r="56" ht="12.75" customHeight="1">
      <c r="A56" s="62"/>
      <c r="B56" s="63" t="s">
        <v>21</v>
      </c>
      <c r="C56" s="135">
        <f t="shared" si="11"/>
        <v>0.313</v>
      </c>
      <c r="D56" s="133">
        <v>5.0</v>
      </c>
      <c r="E56" s="141">
        <v>0.0075</v>
      </c>
      <c r="F56" s="136">
        <f t="shared" si="12"/>
        <v>0.2265</v>
      </c>
      <c r="G56" s="70">
        <f t="shared" si="13"/>
        <v>0.1865</v>
      </c>
      <c r="H56" s="71">
        <f t="shared" si="14"/>
        <v>0.1595</v>
      </c>
      <c r="I56" s="72">
        <f t="shared" si="15"/>
        <v>0.1565</v>
      </c>
      <c r="J56" s="73" t="s">
        <v>58</v>
      </c>
      <c r="L56" s="74" t="s">
        <v>58</v>
      </c>
      <c r="M56" s="137">
        <v>0.021999999999999992</v>
      </c>
    </row>
    <row r="57" ht="12.75" customHeight="1">
      <c r="A57" s="48"/>
      <c r="B57" s="7" t="s">
        <v>22</v>
      </c>
      <c r="C57" s="20">
        <f t="shared" si="11"/>
        <v>0.328</v>
      </c>
      <c r="D57" s="79">
        <v>4.0</v>
      </c>
      <c r="E57" s="141">
        <v>0.007</v>
      </c>
      <c r="F57" s="139">
        <f t="shared" si="12"/>
        <v>0.234</v>
      </c>
      <c r="G57" s="82">
        <f t="shared" si="13"/>
        <v>0.194</v>
      </c>
      <c r="H57" s="83">
        <f t="shared" si="14"/>
        <v>0.167</v>
      </c>
      <c r="I57" s="85">
        <f t="shared" si="15"/>
        <v>0.164</v>
      </c>
      <c r="J57" s="86" t="s">
        <v>59</v>
      </c>
      <c r="L57" s="87" t="s">
        <v>59</v>
      </c>
      <c r="M57" s="137">
        <v>0.014499999999999985</v>
      </c>
    </row>
    <row r="58" ht="12.75" customHeight="1">
      <c r="A58" s="62"/>
      <c r="B58" s="63" t="s">
        <v>23</v>
      </c>
      <c r="C58" s="135">
        <f t="shared" si="11"/>
        <v>0.342</v>
      </c>
      <c r="D58" s="133">
        <v>3.0</v>
      </c>
      <c r="E58" s="141">
        <v>0.0075</v>
      </c>
      <c r="F58" s="136">
        <f t="shared" si="12"/>
        <v>0.241</v>
      </c>
      <c r="G58" s="70">
        <f t="shared" si="13"/>
        <v>0.201</v>
      </c>
      <c r="H58" s="71">
        <f t="shared" si="14"/>
        <v>0.174</v>
      </c>
      <c r="I58" s="72">
        <f t="shared" si="15"/>
        <v>0.171</v>
      </c>
      <c r="J58" s="73" t="s">
        <v>65</v>
      </c>
      <c r="L58" s="74" t="s">
        <v>65</v>
      </c>
      <c r="M58" s="137">
        <v>0.007499999999999979</v>
      </c>
    </row>
    <row r="59" ht="12.75" customHeight="1">
      <c r="A59" s="48"/>
      <c r="B59" s="7" t="s">
        <v>24</v>
      </c>
      <c r="C59" s="20">
        <f t="shared" si="11"/>
        <v>0.357</v>
      </c>
      <c r="D59" s="79">
        <v>2.0</v>
      </c>
      <c r="E59" s="134">
        <v>0.0</v>
      </c>
      <c r="F59" s="139">
        <f t="shared" si="12"/>
        <v>0.2485</v>
      </c>
      <c r="G59" s="82">
        <f t="shared" si="13"/>
        <v>0.2085</v>
      </c>
      <c r="H59" s="83">
        <f t="shared" si="14"/>
        <v>0.1815</v>
      </c>
      <c r="I59" s="85">
        <f t="shared" si="15"/>
        <v>0.1785</v>
      </c>
      <c r="J59" s="86" t="s">
        <v>66</v>
      </c>
      <c r="L59" s="87" t="s">
        <v>66</v>
      </c>
      <c r="M59" s="137">
        <v>0.0</v>
      </c>
    </row>
    <row r="60" ht="12.75" customHeight="1">
      <c r="A60" s="62"/>
      <c r="B60" s="63"/>
      <c r="C60" s="154">
        <f>J15</f>
        <v>0.357</v>
      </c>
      <c r="D60" s="133">
        <v>1.0</v>
      </c>
      <c r="E60" s="134">
        <f>(I61-I60)+E61</f>
        <v>0</v>
      </c>
      <c r="F60" s="136">
        <f>F61</f>
        <v>0.2485</v>
      </c>
      <c r="G60" s="70">
        <f t="shared" ref="G60:G61" si="16">G59</f>
        <v>0.2085</v>
      </c>
      <c r="H60" s="71">
        <f t="shared" si="14"/>
        <v>0.1815</v>
      </c>
      <c r="I60" s="72">
        <f t="shared" si="15"/>
        <v>0.1785</v>
      </c>
      <c r="J60" s="73" t="s">
        <v>67</v>
      </c>
      <c r="L60" s="74" t="s">
        <v>67</v>
      </c>
      <c r="M60" s="137">
        <v>0.0</v>
      </c>
    </row>
    <row r="61" ht="13.5" customHeight="1">
      <c r="A61" s="112"/>
      <c r="B61" s="142"/>
      <c r="C61" s="143">
        <f>J15</f>
        <v>0.357</v>
      </c>
      <c r="D61" s="115">
        <v>0.0</v>
      </c>
      <c r="E61" s="144">
        <v>0.0</v>
      </c>
      <c r="F61" s="145">
        <f>F59</f>
        <v>0.2485</v>
      </c>
      <c r="G61" s="119">
        <f t="shared" si="16"/>
        <v>0.2085</v>
      </c>
      <c r="H61" s="121">
        <f t="shared" si="14"/>
        <v>0.1815</v>
      </c>
      <c r="I61" s="146">
        <f t="shared" si="15"/>
        <v>0.1785</v>
      </c>
      <c r="J61" s="123" t="s">
        <v>70</v>
      </c>
      <c r="L61" s="124" t="s">
        <v>70</v>
      </c>
      <c r="M61" s="147">
        <v>0.0</v>
      </c>
    </row>
    <row r="62" ht="12.75" customHeight="1">
      <c r="A62" s="95"/>
      <c r="B62" s="88"/>
      <c r="C62" s="126"/>
      <c r="D62" s="148"/>
      <c r="E62" s="149"/>
      <c r="F62" s="79"/>
      <c r="G62" s="150"/>
      <c r="H62" s="95"/>
      <c r="I62" s="152"/>
      <c r="J62" s="91"/>
    </row>
    <row r="63" ht="12.75" customHeight="1">
      <c r="A63" s="95"/>
      <c r="B63" s="88"/>
      <c r="C63" s="126"/>
      <c r="D63" s="148"/>
      <c r="E63" s="149"/>
      <c r="F63" s="79"/>
      <c r="G63" s="150"/>
      <c r="H63" s="126"/>
      <c r="I63" s="152"/>
      <c r="J63" s="91"/>
    </row>
    <row r="64" ht="12.75" customHeight="1">
      <c r="A64" s="49"/>
      <c r="B64" s="7"/>
      <c r="C64" s="126"/>
      <c r="D64" s="148"/>
      <c r="E64" s="149"/>
      <c r="F64" s="79"/>
      <c r="G64" s="150"/>
      <c r="H64" s="126"/>
      <c r="I64" s="152"/>
      <c r="J64" s="91"/>
    </row>
    <row r="65" ht="12.75" customHeight="1">
      <c r="A65" s="49"/>
      <c r="B65" s="7"/>
      <c r="C65" s="126"/>
      <c r="D65" s="148"/>
      <c r="E65" s="149"/>
      <c r="F65" s="79"/>
      <c r="G65" s="150"/>
      <c r="H65" s="126"/>
      <c r="I65" s="152"/>
      <c r="J65" s="91"/>
      <c r="M65" s="49"/>
      <c r="T65" s="156"/>
    </row>
    <row r="66" ht="12.75" customHeight="1">
      <c r="A66" s="5"/>
      <c r="B66" s="156"/>
      <c r="D66" s="49"/>
      <c r="E66" s="49"/>
      <c r="F66" s="49"/>
      <c r="G66" s="49"/>
      <c r="J66" s="157"/>
      <c r="M66" s="49"/>
      <c r="T66" s="157"/>
    </row>
    <row r="67" ht="12.75" customHeight="1">
      <c r="A67" s="5"/>
      <c r="B67" s="158"/>
      <c r="M67" s="49"/>
      <c r="T67" s="157"/>
    </row>
    <row r="68" ht="12.75" customHeight="1">
      <c r="A68" s="5"/>
      <c r="B68" s="159"/>
      <c r="D68" s="49"/>
      <c r="E68" s="49"/>
      <c r="F68" s="49"/>
      <c r="G68" s="49"/>
      <c r="K68" s="156"/>
      <c r="M68" s="49"/>
      <c r="T68" s="157"/>
    </row>
    <row r="69" ht="12.75" customHeight="1">
      <c r="A69" s="5"/>
      <c r="B69" s="157"/>
      <c r="D69" s="49"/>
      <c r="E69" s="49"/>
      <c r="F69" s="49"/>
      <c r="G69" s="49"/>
      <c r="K69" s="156"/>
    </row>
    <row r="70" ht="12.75" customHeight="1">
      <c r="A70" s="5"/>
      <c r="B70" s="160"/>
      <c r="M70" s="91"/>
      <c r="N70" s="5"/>
      <c r="O70" s="5"/>
      <c r="P70" s="5"/>
      <c r="Q70" s="5"/>
      <c r="R70" s="91"/>
      <c r="S70" s="46"/>
    </row>
    <row r="71" ht="12.75" customHeight="1">
      <c r="A71" s="91"/>
      <c r="B71" s="7"/>
      <c r="C71" s="46"/>
      <c r="D71" s="46"/>
      <c r="E71" s="46"/>
      <c r="F71" s="46"/>
      <c r="G71" s="46"/>
      <c r="H71" s="91"/>
      <c r="I71" s="91"/>
      <c r="J71" s="91"/>
      <c r="K71" s="91"/>
      <c r="M71" s="91"/>
      <c r="N71" s="49"/>
      <c r="O71" s="49"/>
      <c r="P71" s="49"/>
      <c r="Q71" s="49"/>
      <c r="R71" s="46"/>
      <c r="T71" s="46"/>
      <c r="U71" s="7"/>
    </row>
    <row r="72" ht="12.75" customHeight="1">
      <c r="A72" s="7"/>
      <c r="B72" s="128"/>
      <c r="D72" s="7"/>
      <c r="E72" s="7"/>
      <c r="F72" s="7"/>
      <c r="G72" s="7"/>
      <c r="H72" s="7"/>
      <c r="I72" s="7"/>
      <c r="J72" s="7"/>
      <c r="K72" s="7"/>
      <c r="M72" s="7"/>
      <c r="R72" s="7"/>
      <c r="S72" s="7"/>
      <c r="T72" s="7"/>
      <c r="U72" s="7"/>
    </row>
    <row r="73" ht="12.75" customHeight="1">
      <c r="A73" s="7"/>
      <c r="B73" s="10"/>
      <c r="C73" s="76"/>
      <c r="D73" s="162"/>
      <c r="E73" s="162"/>
      <c r="F73" s="162"/>
      <c r="G73" s="162"/>
      <c r="H73" s="162"/>
      <c r="I73" s="162"/>
      <c r="J73" s="91"/>
      <c r="K73" s="91"/>
      <c r="M73" s="7"/>
      <c r="N73" s="10"/>
      <c r="O73" s="10"/>
      <c r="P73" s="10"/>
      <c r="Q73" s="10"/>
      <c r="R73" s="162"/>
      <c r="S73" s="162"/>
      <c r="T73" s="162"/>
      <c r="U73" s="91"/>
    </row>
    <row r="74" ht="12.75" customHeight="1">
      <c r="A74" s="7"/>
      <c r="B74" s="10"/>
      <c r="C74" s="76"/>
      <c r="D74" s="162"/>
      <c r="E74" s="162"/>
      <c r="F74" s="162"/>
      <c r="G74" s="162"/>
      <c r="H74" s="162"/>
      <c r="I74" s="162"/>
      <c r="J74" s="91"/>
      <c r="K74" s="88"/>
      <c r="M74" s="7"/>
      <c r="N74" s="10"/>
      <c r="O74" s="10"/>
      <c r="P74" s="10"/>
      <c r="Q74" s="10"/>
      <c r="R74" s="162"/>
      <c r="S74" s="162"/>
      <c r="T74" s="162"/>
      <c r="U74" s="91"/>
      <c r="V74" s="88"/>
    </row>
    <row r="75" ht="12.75" customHeight="1">
      <c r="A75" s="7"/>
      <c r="B75" s="10"/>
      <c r="C75" s="76"/>
      <c r="D75" s="162"/>
      <c r="E75" s="162"/>
      <c r="F75" s="162"/>
      <c r="G75" s="162"/>
      <c r="H75" s="162"/>
      <c r="I75" s="162"/>
      <c r="J75" s="91"/>
      <c r="K75" s="91"/>
      <c r="M75" s="7"/>
      <c r="N75" s="10"/>
      <c r="O75" s="10"/>
      <c r="P75" s="10"/>
      <c r="Q75" s="10"/>
      <c r="R75" s="162"/>
      <c r="S75" s="162"/>
      <c r="T75" s="162"/>
      <c r="U75" s="91"/>
      <c r="V75" s="91"/>
    </row>
    <row r="76" ht="12.75" customHeight="1">
      <c r="A76" s="7"/>
      <c r="B76" s="10"/>
      <c r="C76" s="76"/>
      <c r="D76" s="162"/>
      <c r="E76" s="162"/>
      <c r="F76" s="162"/>
      <c r="G76" s="162"/>
      <c r="H76" s="162"/>
      <c r="I76" s="162"/>
      <c r="J76" s="91"/>
      <c r="K76" s="91"/>
      <c r="M76" s="7"/>
      <c r="N76" s="10"/>
      <c r="O76" s="10"/>
      <c r="P76" s="10"/>
      <c r="Q76" s="10"/>
      <c r="R76" s="162"/>
      <c r="S76" s="162"/>
      <c r="T76" s="162"/>
      <c r="U76" s="91"/>
      <c r="V76" s="91"/>
    </row>
    <row r="77" ht="12.75" customHeight="1">
      <c r="A77" s="7"/>
      <c r="B77" s="10"/>
      <c r="C77" s="76"/>
      <c r="D77" s="162"/>
      <c r="E77" s="162"/>
      <c r="F77" s="162"/>
      <c r="G77" s="162"/>
      <c r="H77" s="162"/>
      <c r="I77" s="162"/>
      <c r="J77" s="91"/>
      <c r="K77" s="88"/>
      <c r="M77" s="7"/>
      <c r="N77" s="10"/>
      <c r="O77" s="10"/>
      <c r="P77" s="10"/>
      <c r="Q77" s="10"/>
      <c r="R77" s="162"/>
      <c r="S77" s="162"/>
      <c r="T77" s="162"/>
      <c r="U77" s="91"/>
      <c r="V77" s="88"/>
    </row>
    <row r="78" ht="12.75" customHeight="1">
      <c r="A78" s="7"/>
      <c r="B78" s="10"/>
      <c r="C78" s="76"/>
      <c r="D78" s="162"/>
      <c r="E78" s="162"/>
      <c r="F78" s="162"/>
      <c r="G78" s="162"/>
      <c r="H78" s="162"/>
      <c r="I78" s="162"/>
      <c r="J78" s="91"/>
      <c r="K78" s="91"/>
      <c r="M78" s="7"/>
      <c r="N78" s="10"/>
      <c r="O78" s="10"/>
      <c r="P78" s="10"/>
      <c r="Q78" s="10"/>
      <c r="R78" s="162"/>
      <c r="S78" s="162"/>
      <c r="T78" s="162"/>
      <c r="U78" s="91"/>
      <c r="V78" s="91"/>
    </row>
    <row r="79" ht="12.75" customHeight="1">
      <c r="A79" s="7"/>
      <c r="B79" s="10"/>
      <c r="C79" s="76"/>
      <c r="D79" s="162"/>
      <c r="E79" s="162"/>
      <c r="F79" s="162"/>
      <c r="G79" s="162"/>
      <c r="H79" s="162"/>
      <c r="I79" s="162"/>
      <c r="J79" s="91"/>
      <c r="K79" s="91"/>
      <c r="M79" s="7"/>
      <c r="N79" s="10"/>
      <c r="O79" s="10"/>
      <c r="P79" s="10"/>
      <c r="Q79" s="10"/>
      <c r="R79" s="162"/>
      <c r="S79" s="162"/>
      <c r="T79" s="162"/>
      <c r="U79" s="91"/>
      <c r="V79" s="91"/>
    </row>
    <row r="80" ht="12.75" customHeight="1">
      <c r="A80" s="7"/>
      <c r="B80" s="10"/>
      <c r="C80" s="76"/>
      <c r="D80" s="162"/>
      <c r="E80" s="162"/>
      <c r="F80" s="162"/>
      <c r="G80" s="162"/>
      <c r="H80" s="162"/>
      <c r="I80" s="162"/>
      <c r="J80" s="91"/>
      <c r="K80" s="88"/>
      <c r="M80" s="7"/>
      <c r="N80" s="10"/>
      <c r="O80" s="10"/>
      <c r="P80" s="10"/>
      <c r="Q80" s="10"/>
      <c r="R80" s="162"/>
      <c r="S80" s="162"/>
      <c r="T80" s="162"/>
      <c r="U80" s="91"/>
      <c r="V80" s="88"/>
    </row>
    <row r="81" ht="12.75" customHeight="1">
      <c r="A81" s="7"/>
      <c r="B81" s="10"/>
      <c r="C81" s="76"/>
      <c r="D81" s="162"/>
      <c r="E81" s="162"/>
      <c r="F81" s="162"/>
      <c r="G81" s="162"/>
      <c r="H81" s="162"/>
      <c r="I81" s="162"/>
      <c r="J81" s="91"/>
      <c r="K81" s="91"/>
      <c r="M81" s="7"/>
      <c r="N81" s="10"/>
      <c r="O81" s="10"/>
      <c r="P81" s="10"/>
      <c r="Q81" s="10"/>
      <c r="R81" s="162"/>
      <c r="S81" s="162"/>
      <c r="T81" s="162"/>
      <c r="U81" s="91"/>
      <c r="V81" s="91"/>
    </row>
    <row r="82" ht="12.75" customHeight="1">
      <c r="A82" s="7"/>
      <c r="B82" s="10"/>
      <c r="C82" s="10"/>
      <c r="D82" s="162"/>
      <c r="E82" s="162"/>
      <c r="F82" s="162"/>
      <c r="G82" s="162"/>
      <c r="H82" s="162"/>
      <c r="I82" s="162"/>
      <c r="J82" s="91"/>
      <c r="M82" s="7"/>
      <c r="N82" s="10"/>
      <c r="O82" s="10"/>
      <c r="P82" s="10"/>
      <c r="Q82" s="10"/>
      <c r="R82" s="162"/>
      <c r="S82" s="162"/>
      <c r="T82" s="162"/>
      <c r="U82" s="91"/>
    </row>
    <row r="83" ht="12.75" customHeight="1">
      <c r="A83" s="7"/>
      <c r="B83" s="10"/>
      <c r="C83" s="10"/>
      <c r="D83" s="162"/>
      <c r="E83" s="162"/>
      <c r="F83" s="162"/>
      <c r="G83" s="162"/>
      <c r="H83" s="162"/>
      <c r="I83" s="162"/>
      <c r="J83" s="91"/>
      <c r="K83" s="88"/>
      <c r="M83" s="7"/>
      <c r="N83" s="10"/>
      <c r="O83" s="10"/>
      <c r="P83" s="10"/>
      <c r="Q83" s="10"/>
      <c r="R83" s="162"/>
      <c r="S83" s="162"/>
      <c r="T83" s="162"/>
      <c r="U83" s="91"/>
      <c r="V83" s="91"/>
    </row>
    <row r="84" ht="12.75" customHeight="1">
      <c r="A84" s="7"/>
      <c r="C84" s="10"/>
      <c r="D84" s="162"/>
      <c r="E84" s="162"/>
      <c r="F84" s="162"/>
      <c r="G84" s="162"/>
      <c r="K84" s="91"/>
      <c r="M84" s="7"/>
      <c r="N84" s="10"/>
      <c r="O84" s="10"/>
      <c r="P84" s="10"/>
      <c r="Q84" s="10"/>
      <c r="R84" s="162"/>
      <c r="S84" s="162"/>
      <c r="T84" s="162"/>
      <c r="U84" s="91"/>
      <c r="V84" s="88"/>
    </row>
    <row r="85" ht="12.75" customHeight="1">
      <c r="A85" s="7"/>
      <c r="C85" s="10"/>
      <c r="D85" s="162"/>
      <c r="E85" s="162"/>
      <c r="F85" s="162"/>
      <c r="G85" s="162"/>
      <c r="J85" s="7"/>
      <c r="K85" s="7"/>
      <c r="M85" s="7"/>
      <c r="N85" s="76"/>
      <c r="O85" s="76"/>
      <c r="P85" s="76"/>
      <c r="Q85" s="76"/>
      <c r="R85" s="162"/>
      <c r="S85" s="162"/>
      <c r="T85" s="162"/>
      <c r="U85" s="7"/>
      <c r="V85" s="7"/>
    </row>
    <row r="86" ht="12.75" customHeight="1">
      <c r="A86" s="7"/>
      <c r="C86" s="10"/>
      <c r="D86" s="162"/>
      <c r="E86" s="162"/>
      <c r="F86" s="162"/>
      <c r="G86" s="162"/>
      <c r="J86" s="7"/>
      <c r="K86" s="7"/>
    </row>
    <row r="87" ht="12.75" customHeight="1">
      <c r="A87" s="7"/>
      <c r="C87" s="10"/>
      <c r="D87" s="162"/>
      <c r="E87" s="162"/>
      <c r="F87" s="162"/>
      <c r="G87" s="162"/>
    </row>
    <row r="88" ht="12.75" customHeight="1">
      <c r="A88" s="7"/>
      <c r="B88" s="10"/>
      <c r="C88" s="76"/>
      <c r="D88" s="162"/>
      <c r="E88" s="162"/>
      <c r="F88" s="162"/>
      <c r="G88" s="162"/>
      <c r="H88" s="162"/>
      <c r="I88" s="162"/>
    </row>
    <row r="89" ht="12.75" customHeight="1">
      <c r="A89" s="7"/>
      <c r="B89" s="128"/>
      <c r="C89" s="76"/>
      <c r="D89" s="162"/>
      <c r="E89" s="162"/>
      <c r="F89" s="162"/>
      <c r="G89" s="162"/>
      <c r="H89" s="162"/>
      <c r="I89" s="162"/>
    </row>
    <row r="90" ht="12.75" customHeight="1">
      <c r="A90" s="7"/>
      <c r="B90" s="128"/>
      <c r="C90" s="76"/>
      <c r="D90" s="162"/>
      <c r="E90" s="162"/>
      <c r="F90" s="162"/>
      <c r="G90" s="162"/>
      <c r="H90" s="162"/>
      <c r="I90" s="162"/>
    </row>
    <row r="91" ht="12.75" customHeight="1">
      <c r="A91" s="7"/>
      <c r="B91" s="128"/>
      <c r="C91" s="76"/>
      <c r="D91" s="162"/>
      <c r="E91" s="162"/>
      <c r="F91" s="162"/>
      <c r="G91" s="162"/>
      <c r="H91" s="162"/>
      <c r="I91" s="162"/>
    </row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4">
    <mergeCell ref="A17:C17"/>
    <mergeCell ref="A18:C18"/>
    <mergeCell ref="G18:I18"/>
    <mergeCell ref="G44:I44"/>
  </mergeCells>
  <printOptions/>
  <pageMargins bottom="0.75" footer="0.0" header="0.0" left="0.7" right="0.7" top="0.75"/>
  <pageSetup scale="90" orientation="landscape"/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8.5"/>
    <col customWidth="1" min="3" max="3" width="10.25"/>
    <col customWidth="1" min="4" max="4" width="7.0"/>
    <col customWidth="1" min="5" max="5" width="8.13"/>
    <col customWidth="1" min="6" max="6" width="8.88"/>
    <col customWidth="1" min="7" max="7" width="7.25"/>
    <col customWidth="1" min="8" max="8" width="7.0"/>
    <col customWidth="1" min="9" max="9" width="7.63"/>
    <col customWidth="1" min="10" max="10" width="8.5"/>
    <col customWidth="1" min="11" max="11" width="8.13"/>
    <col customWidth="1" min="12" max="12" width="7.0"/>
    <col customWidth="1" min="13" max="13" width="11.25"/>
    <col customWidth="1" min="14" max="26" width="7.0"/>
  </cols>
  <sheetData>
    <row r="1">
      <c r="A1" s="197"/>
      <c r="G1" s="2" t="s">
        <v>0</v>
      </c>
      <c r="I1" s="3"/>
    </row>
    <row r="2" ht="12.75" customHeight="1">
      <c r="A2" t="s">
        <v>1</v>
      </c>
    </row>
    <row r="3" ht="12.75" customHeight="1">
      <c r="G3" s="4" t="s">
        <v>2</v>
      </c>
      <c r="H3" s="4"/>
      <c r="I3" s="4"/>
      <c r="J3" s="4" t="s">
        <v>3</v>
      </c>
    </row>
    <row r="4" ht="12.75" customHeight="1">
      <c r="A4" s="5" t="s">
        <v>4</v>
      </c>
      <c r="B4" s="6" t="s">
        <v>104</v>
      </c>
      <c r="G4" s="7" t="s">
        <v>5</v>
      </c>
      <c r="H4" s="8">
        <v>0.066</v>
      </c>
      <c r="I4" t="s">
        <v>6</v>
      </c>
      <c r="J4" s="9">
        <v>0.188</v>
      </c>
      <c r="K4" t="s">
        <v>6</v>
      </c>
      <c r="R4" s="10"/>
    </row>
    <row r="5" ht="12.75" customHeight="1">
      <c r="A5" s="5" t="s">
        <v>8</v>
      </c>
      <c r="B5" s="6" t="s">
        <v>105</v>
      </c>
      <c r="G5" s="7" t="s">
        <v>9</v>
      </c>
      <c r="H5" s="8">
        <v>0.073</v>
      </c>
      <c r="J5" s="9">
        <v>0.203</v>
      </c>
      <c r="R5" s="10"/>
    </row>
    <row r="6" ht="12.75" customHeight="1">
      <c r="A6" s="5" t="s">
        <v>10</v>
      </c>
      <c r="B6" s="12" t="s">
        <v>103</v>
      </c>
      <c r="G6" s="7" t="s">
        <v>13</v>
      </c>
      <c r="H6" s="8">
        <v>0.089</v>
      </c>
      <c r="J6" s="9">
        <v>0.218</v>
      </c>
      <c r="R6" s="10"/>
    </row>
    <row r="7" ht="12.75" customHeight="1">
      <c r="A7" s="5" t="s">
        <v>14</v>
      </c>
      <c r="B7" s="13">
        <v>0.199</v>
      </c>
      <c r="G7" s="7" t="s">
        <v>16</v>
      </c>
      <c r="H7" s="8">
        <v>0.104</v>
      </c>
      <c r="J7" s="9">
        <v>0.235</v>
      </c>
      <c r="R7" s="10"/>
    </row>
    <row r="8" ht="12.75" customHeight="1">
      <c r="G8" s="7" t="s">
        <v>17</v>
      </c>
      <c r="H8" s="8">
        <v>0.121</v>
      </c>
      <c r="J8" s="9">
        <v>0.252</v>
      </c>
      <c r="R8" s="10"/>
    </row>
    <row r="9" ht="12.75" customHeight="1">
      <c r="G9" s="7" t="s">
        <v>18</v>
      </c>
      <c r="H9" s="8">
        <v>0.132</v>
      </c>
      <c r="J9" s="9">
        <v>0.271</v>
      </c>
      <c r="R9" s="10"/>
    </row>
    <row r="10" ht="12.75" customHeight="1">
      <c r="G10" s="7" t="s">
        <v>19</v>
      </c>
      <c r="H10" s="8">
        <v>0.151</v>
      </c>
      <c r="J10" s="9">
        <v>0.284</v>
      </c>
      <c r="R10" s="10"/>
    </row>
    <row r="11" ht="12.75" customHeight="1">
      <c r="G11" s="7" t="s">
        <v>20</v>
      </c>
      <c r="H11" s="8">
        <v>0.169</v>
      </c>
      <c r="J11" s="9">
        <v>0.296</v>
      </c>
      <c r="R11" s="10"/>
    </row>
    <row r="12" ht="12.75" customHeight="1">
      <c r="G12" s="7" t="s">
        <v>21</v>
      </c>
      <c r="H12" s="8">
        <v>0.177</v>
      </c>
      <c r="J12" s="9">
        <v>0.311</v>
      </c>
      <c r="R12" s="10"/>
    </row>
    <row r="13" ht="12.75" customHeight="1">
      <c r="G13" s="7" t="s">
        <v>22</v>
      </c>
      <c r="H13" s="8">
        <v>0.195</v>
      </c>
      <c r="J13" s="9">
        <v>0.325</v>
      </c>
      <c r="R13" s="10"/>
    </row>
    <row r="14" ht="12.75" customHeight="1">
      <c r="G14" s="7" t="s">
        <v>23</v>
      </c>
      <c r="H14" s="8">
        <v>0.199</v>
      </c>
      <c r="J14" s="9">
        <v>0.338</v>
      </c>
      <c r="R14" s="10"/>
    </row>
    <row r="15" ht="12.75" customHeight="1">
      <c r="G15" s="7" t="s">
        <v>24</v>
      </c>
      <c r="H15" s="8">
        <v>0.21</v>
      </c>
      <c r="I15" t="s">
        <v>6</v>
      </c>
      <c r="J15" s="9">
        <v>0.35</v>
      </c>
      <c r="K15" t="s">
        <v>6</v>
      </c>
      <c r="R15" s="10"/>
    </row>
    <row r="16" ht="12.75" customHeight="1">
      <c r="G16" s="17" t="s">
        <v>25</v>
      </c>
      <c r="H16" s="18">
        <f>H15</f>
        <v>0.21</v>
      </c>
      <c r="I16" s="19"/>
      <c r="J16" s="18">
        <f>J15</f>
        <v>0.35</v>
      </c>
      <c r="K16" s="18"/>
      <c r="M16" s="20"/>
      <c r="R16" s="10"/>
    </row>
    <row r="17" ht="13.5" customHeight="1">
      <c r="A17" s="4" t="s">
        <v>26</v>
      </c>
      <c r="D17" s="21">
        <v>0.07</v>
      </c>
      <c r="G17" s="17" t="s">
        <v>68</v>
      </c>
      <c r="H17" s="18">
        <f>H15</f>
        <v>0.21</v>
      </c>
      <c r="I17" s="19"/>
      <c r="J17" s="17">
        <v>0.294</v>
      </c>
      <c r="K17" s="18"/>
      <c r="M17" s="20"/>
      <c r="R17" s="10"/>
    </row>
    <row r="18" ht="13.5" customHeight="1">
      <c r="A18" s="4" t="s">
        <v>28</v>
      </c>
      <c r="D18" s="25">
        <v>0.03</v>
      </c>
      <c r="G18" s="168" t="s">
        <v>29</v>
      </c>
      <c r="H18" s="153"/>
      <c r="I18" s="155"/>
      <c r="J18" s="7"/>
      <c r="K18" s="26"/>
      <c r="M18" s="20"/>
      <c r="R18" s="10"/>
    </row>
    <row r="19">
      <c r="D19" s="32"/>
      <c r="G19" s="32"/>
      <c r="J19" s="7"/>
      <c r="M19" s="35" t="s">
        <v>30</v>
      </c>
    </row>
    <row r="20" ht="12.75" customHeight="1">
      <c r="A20" s="33"/>
      <c r="B20" s="34"/>
      <c r="C20" s="36" t="s">
        <v>31</v>
      </c>
      <c r="D20" s="36" t="s">
        <v>33</v>
      </c>
      <c r="E20" s="37" t="s">
        <v>35</v>
      </c>
      <c r="F20" s="45" t="s">
        <v>41</v>
      </c>
      <c r="G20" s="47" t="s">
        <v>42</v>
      </c>
      <c r="H20" s="40" t="s">
        <v>38</v>
      </c>
      <c r="I20" s="41" t="s">
        <v>39</v>
      </c>
      <c r="J20" s="42"/>
      <c r="M20" s="200" t="s">
        <v>40</v>
      </c>
      <c r="O20" s="46"/>
    </row>
    <row r="21" ht="12.75" customHeight="1">
      <c r="A21" s="48"/>
      <c r="B21" s="7" t="s">
        <v>2</v>
      </c>
      <c r="C21" s="49" t="s">
        <v>43</v>
      </c>
      <c r="D21" s="7" t="s">
        <v>44</v>
      </c>
      <c r="E21" s="52"/>
      <c r="F21" s="53" t="s">
        <v>46</v>
      </c>
      <c r="G21" s="54" t="s">
        <v>46</v>
      </c>
      <c r="H21" s="56" t="s">
        <v>47</v>
      </c>
      <c r="I21" s="58" t="s">
        <v>37</v>
      </c>
      <c r="J21" s="59" t="s">
        <v>33</v>
      </c>
      <c r="M21" s="201" t="s">
        <v>80</v>
      </c>
      <c r="O21" s="7"/>
      <c r="W21" s="20"/>
    </row>
    <row r="22" ht="13.5" customHeight="1">
      <c r="A22" s="62"/>
      <c r="B22" s="63" t="s">
        <v>5</v>
      </c>
      <c r="C22" s="65">
        <f t="shared" ref="C22:C31" si="1">H4</f>
        <v>0.066</v>
      </c>
      <c r="D22" s="66">
        <v>13.0</v>
      </c>
      <c r="E22" s="174">
        <v>0.003</v>
      </c>
      <c r="F22" s="68">
        <f t="shared" ref="F22:F32" si="2">I22+$D$17</f>
        <v>0.103</v>
      </c>
      <c r="G22" s="70">
        <f t="shared" ref="G22:G39" si="3">I22+$D$18</f>
        <v>0.063</v>
      </c>
      <c r="H22" s="71">
        <f t="shared" ref="H22:H39" si="4">I22+0.003</f>
        <v>0.036</v>
      </c>
      <c r="I22" s="72">
        <f t="shared" ref="I22:I39" si="5">C22/2</f>
        <v>0.033</v>
      </c>
      <c r="J22" s="73" t="s">
        <v>49</v>
      </c>
      <c r="M22" s="203">
        <v>0.074</v>
      </c>
      <c r="O22" s="76"/>
      <c r="W22" s="20"/>
    </row>
    <row r="23" ht="13.5" customHeight="1">
      <c r="A23" s="77" t="s">
        <v>50</v>
      </c>
      <c r="B23" s="7" t="s">
        <v>9</v>
      </c>
      <c r="C23" s="76">
        <f t="shared" si="1"/>
        <v>0.073</v>
      </c>
      <c r="D23" s="79">
        <v>12.0</v>
      </c>
      <c r="E23" s="93">
        <v>0.009</v>
      </c>
      <c r="F23" s="81">
        <f t="shared" si="2"/>
        <v>0.1065</v>
      </c>
      <c r="G23" s="82">
        <f t="shared" si="3"/>
        <v>0.0665</v>
      </c>
      <c r="H23" s="83">
        <f t="shared" si="4"/>
        <v>0.0395</v>
      </c>
      <c r="I23" s="85">
        <f t="shared" si="5"/>
        <v>0.0365</v>
      </c>
      <c r="J23" s="86" t="s">
        <v>51</v>
      </c>
      <c r="M23" s="203">
        <v>0.071</v>
      </c>
      <c r="O23" s="76"/>
      <c r="U23" s="88"/>
      <c r="W23" s="4"/>
    </row>
    <row r="24" ht="13.5" customHeight="1">
      <c r="A24" s="62"/>
      <c r="B24" s="63" t="s">
        <v>13</v>
      </c>
      <c r="C24" s="65">
        <f t="shared" si="1"/>
        <v>0.089</v>
      </c>
      <c r="D24" s="66">
        <v>11.0</v>
      </c>
      <c r="E24" s="92">
        <v>0.009</v>
      </c>
      <c r="F24" s="68">
        <f t="shared" si="2"/>
        <v>0.1145</v>
      </c>
      <c r="G24" s="70">
        <f t="shared" si="3"/>
        <v>0.0745</v>
      </c>
      <c r="H24" s="71">
        <f t="shared" si="4"/>
        <v>0.0475</v>
      </c>
      <c r="I24" s="72">
        <f t="shared" si="5"/>
        <v>0.0445</v>
      </c>
      <c r="J24" s="73" t="s">
        <v>52</v>
      </c>
      <c r="M24" s="203">
        <v>0.062</v>
      </c>
      <c r="O24" s="76"/>
      <c r="U24" s="91"/>
      <c r="W24" s="4"/>
    </row>
    <row r="25" ht="13.5" customHeight="1">
      <c r="A25" s="48"/>
      <c r="B25" s="7" t="s">
        <v>16</v>
      </c>
      <c r="C25" s="76">
        <f t="shared" si="1"/>
        <v>0.104</v>
      </c>
      <c r="D25" s="79">
        <v>10.0</v>
      </c>
      <c r="E25" s="93">
        <v>0.009</v>
      </c>
      <c r="F25" s="81">
        <f t="shared" si="2"/>
        <v>0.122</v>
      </c>
      <c r="G25" s="82">
        <f t="shared" si="3"/>
        <v>0.082</v>
      </c>
      <c r="H25" s="83">
        <f t="shared" si="4"/>
        <v>0.055</v>
      </c>
      <c r="I25" s="85">
        <f t="shared" si="5"/>
        <v>0.052</v>
      </c>
      <c r="J25" s="86" t="s">
        <v>53</v>
      </c>
      <c r="M25" s="203">
        <v>0.055</v>
      </c>
      <c r="O25" s="76"/>
      <c r="U25" s="91"/>
      <c r="W25" s="20"/>
    </row>
    <row r="26" ht="13.5" customHeight="1">
      <c r="A26" s="62"/>
      <c r="B26" s="63" t="s">
        <v>17</v>
      </c>
      <c r="C26" s="65">
        <f t="shared" si="1"/>
        <v>0.121</v>
      </c>
      <c r="D26" s="66">
        <v>9.0</v>
      </c>
      <c r="E26" s="92">
        <v>0.006</v>
      </c>
      <c r="F26" s="68">
        <f t="shared" si="2"/>
        <v>0.1305</v>
      </c>
      <c r="G26" s="70">
        <f t="shared" si="3"/>
        <v>0.0905</v>
      </c>
      <c r="H26" s="71">
        <f t="shared" si="4"/>
        <v>0.0635</v>
      </c>
      <c r="I26" s="72">
        <f t="shared" si="5"/>
        <v>0.0605</v>
      </c>
      <c r="J26" s="73" t="s">
        <v>54</v>
      </c>
      <c r="M26" s="203">
        <v>0.046</v>
      </c>
      <c r="O26" s="76"/>
      <c r="U26" s="88"/>
    </row>
    <row r="27" ht="13.5" customHeight="1">
      <c r="A27" s="48"/>
      <c r="B27" s="7" t="s">
        <v>18</v>
      </c>
      <c r="C27" s="76">
        <f t="shared" si="1"/>
        <v>0.132</v>
      </c>
      <c r="D27" s="97">
        <v>8.0</v>
      </c>
      <c r="E27" s="98">
        <v>0.01</v>
      </c>
      <c r="F27" s="99">
        <f t="shared" si="2"/>
        <v>0.136</v>
      </c>
      <c r="G27" s="100">
        <f t="shared" si="3"/>
        <v>0.096</v>
      </c>
      <c r="H27" s="103">
        <f t="shared" si="4"/>
        <v>0.069</v>
      </c>
      <c r="I27" s="104">
        <f t="shared" si="5"/>
        <v>0.066</v>
      </c>
      <c r="J27" s="105" t="s">
        <v>55</v>
      </c>
      <c r="M27" s="203">
        <v>0.04</v>
      </c>
      <c r="O27" s="76"/>
      <c r="U27" s="91"/>
    </row>
    <row r="28" ht="13.5" customHeight="1">
      <c r="A28" s="62"/>
      <c r="B28" s="63" t="s">
        <v>19</v>
      </c>
      <c r="C28" s="65">
        <f t="shared" si="1"/>
        <v>0.151</v>
      </c>
      <c r="D28" s="66">
        <v>7.0</v>
      </c>
      <c r="E28" s="92">
        <v>0.009</v>
      </c>
      <c r="F28" s="68">
        <f t="shared" si="2"/>
        <v>0.1455</v>
      </c>
      <c r="G28" s="70">
        <f t="shared" si="3"/>
        <v>0.1055</v>
      </c>
      <c r="H28" s="71">
        <f t="shared" si="4"/>
        <v>0.0785</v>
      </c>
      <c r="I28" s="72">
        <f t="shared" si="5"/>
        <v>0.0755</v>
      </c>
      <c r="J28" s="73" t="s">
        <v>56</v>
      </c>
      <c r="M28" s="203">
        <v>0.03</v>
      </c>
      <c r="O28" s="76"/>
      <c r="U28" s="91"/>
    </row>
    <row r="29" ht="13.5" customHeight="1">
      <c r="A29" s="48"/>
      <c r="B29" s="7" t="s">
        <v>20</v>
      </c>
      <c r="C29" s="76">
        <f t="shared" si="1"/>
        <v>0.169</v>
      </c>
      <c r="D29" s="79">
        <v>6.0</v>
      </c>
      <c r="E29" s="93">
        <v>0.004</v>
      </c>
      <c r="F29" s="81">
        <f t="shared" si="2"/>
        <v>0.1545</v>
      </c>
      <c r="G29" s="82">
        <f t="shared" si="3"/>
        <v>0.1145</v>
      </c>
      <c r="H29" s="83">
        <f t="shared" si="4"/>
        <v>0.0875</v>
      </c>
      <c r="I29" s="85">
        <f t="shared" si="5"/>
        <v>0.0845</v>
      </c>
      <c r="J29" s="86" t="s">
        <v>57</v>
      </c>
      <c r="M29" s="203">
        <v>0.021</v>
      </c>
      <c r="O29" s="76"/>
      <c r="U29" s="88"/>
    </row>
    <row r="30" ht="13.5" customHeight="1">
      <c r="A30" s="62"/>
      <c r="B30" s="63" t="s">
        <v>21</v>
      </c>
      <c r="C30" s="65">
        <f t="shared" si="1"/>
        <v>0.177</v>
      </c>
      <c r="D30" s="66">
        <v>5.0</v>
      </c>
      <c r="E30" s="92">
        <v>0.009</v>
      </c>
      <c r="F30" s="68">
        <f t="shared" si="2"/>
        <v>0.1585</v>
      </c>
      <c r="G30" s="70">
        <f t="shared" si="3"/>
        <v>0.1185</v>
      </c>
      <c r="H30" s="71">
        <f t="shared" si="4"/>
        <v>0.0915</v>
      </c>
      <c r="I30" s="72">
        <f t="shared" si="5"/>
        <v>0.0885</v>
      </c>
      <c r="J30" s="73" t="s">
        <v>58</v>
      </c>
      <c r="M30" s="203">
        <v>0.017</v>
      </c>
      <c r="O30" s="76"/>
      <c r="U30" s="91"/>
    </row>
    <row r="31" ht="13.5" customHeight="1">
      <c r="A31" s="94"/>
      <c r="B31" s="7" t="s">
        <v>22</v>
      </c>
      <c r="C31" s="76">
        <f t="shared" si="1"/>
        <v>0.195</v>
      </c>
      <c r="D31" s="79">
        <v>4.0</v>
      </c>
      <c r="E31" s="93">
        <v>0.002</v>
      </c>
      <c r="F31" s="81">
        <f t="shared" si="2"/>
        <v>0.1675</v>
      </c>
      <c r="G31" s="82">
        <f t="shared" si="3"/>
        <v>0.1275</v>
      </c>
      <c r="H31" s="83">
        <f t="shared" si="4"/>
        <v>0.1005</v>
      </c>
      <c r="I31" s="85">
        <f t="shared" si="5"/>
        <v>0.0975</v>
      </c>
      <c r="J31" s="86" t="s">
        <v>59</v>
      </c>
      <c r="M31" s="203">
        <v>0.008</v>
      </c>
      <c r="N31" s="95"/>
      <c r="O31" s="76"/>
    </row>
    <row r="32" ht="13.5" customHeight="1">
      <c r="A32" s="96"/>
      <c r="B32" s="63" t="s">
        <v>60</v>
      </c>
      <c r="C32" s="65">
        <f>MROUND(((C36-C31)/4)+C31,0.001)</f>
        <v>0.196</v>
      </c>
      <c r="D32" s="66"/>
      <c r="E32" s="90" t="s">
        <v>61</v>
      </c>
      <c r="F32" s="68">
        <f t="shared" si="2"/>
        <v>0.168</v>
      </c>
      <c r="G32" s="70">
        <f t="shared" si="3"/>
        <v>0.128</v>
      </c>
      <c r="H32" s="71">
        <f t="shared" si="4"/>
        <v>0.101</v>
      </c>
      <c r="I32" s="72">
        <f t="shared" si="5"/>
        <v>0.098</v>
      </c>
      <c r="J32" s="101"/>
      <c r="M32" s="216"/>
      <c r="O32" s="76"/>
      <c r="U32" s="91"/>
    </row>
    <row r="33" ht="13.5" customHeight="1">
      <c r="B33" s="7" t="s">
        <v>62</v>
      </c>
      <c r="C33" s="76">
        <f>MROUND(((C36-C31)/4)+C32,0.001)</f>
        <v>0.197</v>
      </c>
      <c r="D33" s="79"/>
      <c r="E33" s="80" t="s">
        <v>61</v>
      </c>
      <c r="F33" s="81">
        <f t="shared" ref="F33:F35" si="6">I33+0.07</f>
        <v>0.1685</v>
      </c>
      <c r="G33" s="82">
        <f t="shared" si="3"/>
        <v>0.1285</v>
      </c>
      <c r="H33" s="83">
        <f t="shared" si="4"/>
        <v>0.1015</v>
      </c>
      <c r="I33" s="85">
        <f t="shared" si="5"/>
        <v>0.0985</v>
      </c>
      <c r="J33" s="106"/>
      <c r="M33" s="216"/>
      <c r="O33" s="107"/>
      <c r="U33" s="88"/>
    </row>
    <row r="34" ht="13.5" customHeight="1">
      <c r="A34" s="96"/>
      <c r="B34" s="63" t="s">
        <v>63</v>
      </c>
      <c r="C34" s="65">
        <f>MROUND(((C36-C31)/4)+C33,0.001)</f>
        <v>0.198</v>
      </c>
      <c r="D34" s="66"/>
      <c r="E34" s="90" t="s">
        <v>61</v>
      </c>
      <c r="F34" s="68">
        <f t="shared" si="6"/>
        <v>0.169</v>
      </c>
      <c r="G34" s="70">
        <f t="shared" si="3"/>
        <v>0.129</v>
      </c>
      <c r="H34" s="71">
        <f t="shared" si="4"/>
        <v>0.102</v>
      </c>
      <c r="I34" s="72">
        <f t="shared" si="5"/>
        <v>0.099</v>
      </c>
      <c r="J34" s="101"/>
      <c r="M34" s="216"/>
      <c r="O34" s="76"/>
      <c r="U34" s="7"/>
    </row>
    <row r="35" ht="13.5" customHeight="1">
      <c r="A35" s="94"/>
      <c r="B35" s="7" t="s">
        <v>64</v>
      </c>
      <c r="C35" s="76">
        <f>MROUND(((C36-C31)/4)+C34,0.001)</f>
        <v>0.199</v>
      </c>
      <c r="D35" s="79"/>
      <c r="E35" s="80" t="s">
        <v>61</v>
      </c>
      <c r="F35" s="81">
        <f t="shared" si="6"/>
        <v>0.1695</v>
      </c>
      <c r="G35" s="82">
        <f t="shared" si="3"/>
        <v>0.1295</v>
      </c>
      <c r="H35" s="83">
        <f t="shared" si="4"/>
        <v>0.1025</v>
      </c>
      <c r="I35" s="85">
        <f t="shared" si="5"/>
        <v>0.0995</v>
      </c>
      <c r="J35" s="106"/>
      <c r="M35" s="216"/>
      <c r="O35" s="76"/>
    </row>
    <row r="36" ht="13.5" customHeight="1">
      <c r="A36" s="77" t="s">
        <v>69</v>
      </c>
      <c r="B36" s="63" t="s">
        <v>23</v>
      </c>
      <c r="C36" s="65">
        <f t="shared" ref="C36:C39" si="7">H14</f>
        <v>0.199</v>
      </c>
      <c r="D36" s="66">
        <v>3.0</v>
      </c>
      <c r="E36" s="92">
        <v>0.006</v>
      </c>
      <c r="F36" s="68">
        <f t="shared" ref="F36:F37" si="8">I36+$D$17</f>
        <v>0.1695</v>
      </c>
      <c r="G36" s="70">
        <f t="shared" si="3"/>
        <v>0.1295</v>
      </c>
      <c r="H36" s="71">
        <f t="shared" si="4"/>
        <v>0.1025</v>
      </c>
      <c r="I36" s="72">
        <f t="shared" si="5"/>
        <v>0.0995</v>
      </c>
      <c r="J36" s="73" t="s">
        <v>65</v>
      </c>
      <c r="M36" s="203">
        <v>0.006</v>
      </c>
      <c r="N36" s="95"/>
      <c r="O36" s="76"/>
    </row>
    <row r="37" ht="13.5" customHeight="1">
      <c r="A37" s="94"/>
      <c r="B37" s="7" t="s">
        <v>24</v>
      </c>
      <c r="C37" s="76">
        <f t="shared" si="7"/>
        <v>0.21</v>
      </c>
      <c r="D37" s="79">
        <v>2.0</v>
      </c>
      <c r="E37" s="80">
        <f t="shared" ref="E37:E38" si="9">(I38-I37)+E38</f>
        <v>0</v>
      </c>
      <c r="F37" s="81">
        <f t="shared" si="8"/>
        <v>0.175</v>
      </c>
      <c r="G37" s="82">
        <f t="shared" si="3"/>
        <v>0.135</v>
      </c>
      <c r="H37" s="83">
        <f t="shared" si="4"/>
        <v>0.108</v>
      </c>
      <c r="I37" s="85">
        <f t="shared" si="5"/>
        <v>0.105</v>
      </c>
      <c r="J37" s="86" t="s">
        <v>66</v>
      </c>
      <c r="M37" s="203">
        <v>0.0</v>
      </c>
      <c r="O37" s="76"/>
    </row>
    <row r="38" ht="13.5" customHeight="1">
      <c r="A38" s="62"/>
      <c r="B38" s="108" t="s">
        <v>25</v>
      </c>
      <c r="C38" s="109">
        <f t="shared" si="7"/>
        <v>0.21</v>
      </c>
      <c r="D38" s="66">
        <v>1.0</v>
      </c>
      <c r="E38" s="90">
        <f t="shared" si="9"/>
        <v>0</v>
      </c>
      <c r="F38" s="68">
        <f>F39</f>
        <v>0.175</v>
      </c>
      <c r="G38" s="70">
        <f t="shared" si="3"/>
        <v>0.135</v>
      </c>
      <c r="H38" s="71">
        <f t="shared" si="4"/>
        <v>0.108</v>
      </c>
      <c r="I38" s="72">
        <f t="shared" si="5"/>
        <v>0.105</v>
      </c>
      <c r="J38" s="73" t="s">
        <v>67</v>
      </c>
      <c r="M38" s="203">
        <v>0.0</v>
      </c>
      <c r="O38" s="76"/>
    </row>
    <row r="39" ht="13.5" customHeight="1">
      <c r="A39" s="112"/>
      <c r="B39" s="113" t="s">
        <v>68</v>
      </c>
      <c r="C39" s="114">
        <f t="shared" si="7"/>
        <v>0.21</v>
      </c>
      <c r="D39" s="115">
        <v>0.0</v>
      </c>
      <c r="E39" s="116">
        <v>0.0</v>
      </c>
      <c r="F39" s="117">
        <f>F37</f>
        <v>0.175</v>
      </c>
      <c r="G39" s="119">
        <f t="shared" si="3"/>
        <v>0.135</v>
      </c>
      <c r="H39" s="121">
        <f t="shared" si="4"/>
        <v>0.108</v>
      </c>
      <c r="I39" s="122">
        <f t="shared" si="5"/>
        <v>0.105</v>
      </c>
      <c r="J39" s="123" t="s">
        <v>70</v>
      </c>
      <c r="M39" s="221"/>
      <c r="O39" s="76"/>
    </row>
    <row r="40" ht="12.75" customHeight="1">
      <c r="B40" s="7"/>
      <c r="C40" s="76"/>
      <c r="D40" s="76"/>
      <c r="E40" s="76"/>
      <c r="F40" s="76"/>
      <c r="G40" s="76"/>
      <c r="H40" s="76"/>
      <c r="I40" s="76"/>
      <c r="J40" s="91"/>
      <c r="K40" s="49"/>
      <c r="L40" s="7"/>
      <c r="M40" s="126"/>
      <c r="N40" s="126"/>
      <c r="O40" s="126"/>
      <c r="P40" s="126"/>
      <c r="Q40" s="126"/>
      <c r="R40" s="126"/>
      <c r="S40" s="126"/>
      <c r="T40" s="91"/>
    </row>
    <row r="41" ht="12.75" customHeight="1">
      <c r="A41" s="49"/>
      <c r="B41" s="7"/>
      <c r="C41" s="76"/>
      <c r="D41" s="76"/>
      <c r="E41" s="76"/>
      <c r="F41" s="76"/>
      <c r="G41" s="76"/>
      <c r="H41" s="76"/>
      <c r="I41" s="76"/>
      <c r="J41" s="91"/>
      <c r="K41" s="49"/>
      <c r="L41" s="7"/>
      <c r="M41" s="126"/>
      <c r="N41" s="126"/>
      <c r="O41" s="126"/>
      <c r="P41" s="126"/>
      <c r="Q41" s="126"/>
      <c r="R41" s="126"/>
      <c r="S41" s="126"/>
      <c r="T41" s="91"/>
    </row>
    <row r="42" ht="12.75" customHeight="1">
      <c r="A42" s="49"/>
      <c r="B42" s="7"/>
      <c r="C42" s="76"/>
      <c r="D42" s="76"/>
      <c r="E42" s="76"/>
      <c r="F42" s="76"/>
      <c r="G42" s="76"/>
      <c r="H42" s="76"/>
      <c r="I42" s="76"/>
      <c r="J42" s="91"/>
      <c r="K42" s="49"/>
      <c r="L42" s="7"/>
      <c r="M42" s="126"/>
      <c r="N42" s="126"/>
      <c r="O42" s="126"/>
      <c r="P42" s="126"/>
      <c r="Q42" s="126"/>
      <c r="R42" s="126"/>
      <c r="S42" s="126"/>
      <c r="T42" s="91"/>
    </row>
    <row r="43" ht="12.75" customHeight="1">
      <c r="B43" s="7"/>
      <c r="C43" s="76"/>
      <c r="D43" s="76"/>
      <c r="E43" s="76"/>
      <c r="F43" s="76"/>
      <c r="G43" s="76"/>
      <c r="H43" s="76"/>
      <c r="I43" s="76"/>
      <c r="J43" s="91"/>
      <c r="K43" s="49"/>
      <c r="L43" s="7"/>
      <c r="M43" s="126"/>
      <c r="N43" s="126"/>
      <c r="O43" s="126"/>
      <c r="P43" s="126"/>
      <c r="Q43" s="126"/>
      <c r="R43" s="126"/>
      <c r="S43" s="126"/>
      <c r="T43" s="91"/>
    </row>
    <row r="44" ht="12.75" customHeight="1">
      <c r="B44" s="7"/>
      <c r="C44" s="76"/>
      <c r="D44" s="76"/>
      <c r="E44" s="76"/>
      <c r="F44" s="76"/>
      <c r="G44" s="151" t="s">
        <v>71</v>
      </c>
      <c r="H44" s="153"/>
      <c r="I44" s="155"/>
      <c r="J44" s="91"/>
      <c r="K44" s="49"/>
      <c r="L44" s="7"/>
      <c r="M44" s="126"/>
      <c r="N44" s="126"/>
      <c r="O44" s="126"/>
      <c r="P44" s="126"/>
      <c r="Q44" s="126"/>
      <c r="R44" s="126"/>
      <c r="S44" s="126"/>
      <c r="T44" s="91"/>
    </row>
    <row r="45">
      <c r="D45" s="127"/>
      <c r="E45" s="127"/>
      <c r="F45" s="127"/>
      <c r="G45" s="127"/>
      <c r="H45" s="128"/>
      <c r="M45" s="35" t="s">
        <v>30</v>
      </c>
    </row>
    <row r="46" ht="12.75" customHeight="1">
      <c r="A46" s="129"/>
      <c r="B46" s="34"/>
      <c r="C46" s="36" t="s">
        <v>31</v>
      </c>
      <c r="D46" s="36" t="s">
        <v>33</v>
      </c>
      <c r="E46" s="37" t="s">
        <v>35</v>
      </c>
      <c r="F46" s="45" t="s">
        <v>41</v>
      </c>
      <c r="G46" s="47" t="s">
        <v>42</v>
      </c>
      <c r="H46" s="40" t="s">
        <v>38</v>
      </c>
      <c r="I46" s="41" t="s">
        <v>39</v>
      </c>
      <c r="J46" s="130"/>
      <c r="M46" s="200" t="s">
        <v>40</v>
      </c>
      <c r="O46">
        <f t="shared" ref="O46:O55" si="10">P46+45</f>
        <v>90</v>
      </c>
      <c r="P46" s="223">
        <v>45.0</v>
      </c>
      <c r="Q46" s="224">
        <v>0.203</v>
      </c>
    </row>
    <row r="47" ht="12.75" customHeight="1">
      <c r="A47" s="131"/>
      <c r="B47" s="7" t="s">
        <v>3</v>
      </c>
      <c r="C47" s="49" t="s">
        <v>43</v>
      </c>
      <c r="D47" s="7" t="s">
        <v>44</v>
      </c>
      <c r="E47" s="52"/>
      <c r="F47" s="53" t="s">
        <v>46</v>
      </c>
      <c r="G47" s="54" t="s">
        <v>46</v>
      </c>
      <c r="H47" s="56" t="s">
        <v>47</v>
      </c>
      <c r="I47" s="58" t="s">
        <v>37</v>
      </c>
      <c r="J47" s="59" t="s">
        <v>33</v>
      </c>
      <c r="M47" s="201" t="s">
        <v>80</v>
      </c>
      <c r="O47">
        <f t="shared" si="10"/>
        <v>95</v>
      </c>
      <c r="P47" s="223">
        <v>50.0</v>
      </c>
      <c r="Q47" s="224">
        <v>0.218</v>
      </c>
    </row>
    <row r="48" ht="12.75" customHeight="1">
      <c r="A48" s="62"/>
      <c r="B48" s="63" t="s">
        <v>5</v>
      </c>
      <c r="C48" s="135">
        <f t="shared" ref="C48:C59" si="11">J4</f>
        <v>0.188</v>
      </c>
      <c r="D48" s="133">
        <v>13.0</v>
      </c>
      <c r="E48" s="141">
        <v>0.007</v>
      </c>
      <c r="F48" s="136">
        <f t="shared" ref="F48:F59" si="12">I48+$D$17</f>
        <v>0.164</v>
      </c>
      <c r="G48" s="70">
        <f t="shared" ref="G48:G59" si="13">I48+$D$18</f>
        <v>0.124</v>
      </c>
      <c r="H48" s="71">
        <f t="shared" ref="H48:H61" si="14">I48+0.003</f>
        <v>0.097</v>
      </c>
      <c r="I48" s="72">
        <f t="shared" ref="I48:I61" si="15">C48/2</f>
        <v>0.094</v>
      </c>
      <c r="J48" s="73" t="s">
        <v>49</v>
      </c>
      <c r="M48" s="201">
        <v>0.083</v>
      </c>
      <c r="O48">
        <f t="shared" si="10"/>
        <v>100</v>
      </c>
      <c r="P48" s="223">
        <v>55.0</v>
      </c>
      <c r="Q48" s="224">
        <v>0.235</v>
      </c>
    </row>
    <row r="49" ht="12.75" customHeight="1">
      <c r="A49" s="77" t="s">
        <v>69</v>
      </c>
      <c r="B49" s="7" t="s">
        <v>9</v>
      </c>
      <c r="C49" s="20">
        <f t="shared" si="11"/>
        <v>0.203</v>
      </c>
      <c r="D49" s="79">
        <v>12.0</v>
      </c>
      <c r="E49" s="141">
        <v>0.008</v>
      </c>
      <c r="F49" s="139">
        <f t="shared" si="12"/>
        <v>0.1715</v>
      </c>
      <c r="G49" s="82">
        <f t="shared" si="13"/>
        <v>0.1315</v>
      </c>
      <c r="H49" s="83">
        <f t="shared" si="14"/>
        <v>0.1045</v>
      </c>
      <c r="I49" s="85">
        <f t="shared" si="15"/>
        <v>0.1015</v>
      </c>
      <c r="J49" s="86" t="s">
        <v>51</v>
      </c>
      <c r="M49" s="201">
        <v>0.076</v>
      </c>
      <c r="O49">
        <f t="shared" si="10"/>
        <v>105</v>
      </c>
      <c r="P49" s="223">
        <v>60.0</v>
      </c>
      <c r="Q49" s="224">
        <v>0.252</v>
      </c>
    </row>
    <row r="50" ht="12.75" customHeight="1">
      <c r="A50" s="62"/>
      <c r="B50" s="63" t="s">
        <v>13</v>
      </c>
      <c r="C50" s="135">
        <f t="shared" si="11"/>
        <v>0.218</v>
      </c>
      <c r="D50" s="133">
        <v>11.0</v>
      </c>
      <c r="E50" s="141">
        <v>0.009</v>
      </c>
      <c r="F50" s="136">
        <f t="shared" si="12"/>
        <v>0.179</v>
      </c>
      <c r="G50" s="70">
        <f t="shared" si="13"/>
        <v>0.139</v>
      </c>
      <c r="H50" s="71">
        <f t="shared" si="14"/>
        <v>0.112</v>
      </c>
      <c r="I50" s="72">
        <f t="shared" si="15"/>
        <v>0.109</v>
      </c>
      <c r="J50" s="73" t="s">
        <v>52</v>
      </c>
      <c r="M50" s="201">
        <v>0.068</v>
      </c>
      <c r="O50">
        <f t="shared" si="10"/>
        <v>110</v>
      </c>
      <c r="P50" s="223">
        <v>65.0</v>
      </c>
      <c r="Q50" s="224">
        <v>0.271</v>
      </c>
    </row>
    <row r="51" ht="12.75" customHeight="1">
      <c r="A51" s="48"/>
      <c r="B51" s="7" t="s">
        <v>16</v>
      </c>
      <c r="C51" s="20">
        <f t="shared" si="11"/>
        <v>0.235</v>
      </c>
      <c r="D51" s="79">
        <v>10.0</v>
      </c>
      <c r="E51" s="141">
        <v>0.009</v>
      </c>
      <c r="F51" s="139">
        <f t="shared" si="12"/>
        <v>0.1875</v>
      </c>
      <c r="G51" s="82">
        <f t="shared" si="13"/>
        <v>0.1475</v>
      </c>
      <c r="H51" s="83">
        <f t="shared" si="14"/>
        <v>0.1205</v>
      </c>
      <c r="I51" s="85">
        <f t="shared" si="15"/>
        <v>0.1175</v>
      </c>
      <c r="J51" s="86" t="s">
        <v>53</v>
      </c>
      <c r="M51" s="201">
        <v>0.059</v>
      </c>
      <c r="O51">
        <f t="shared" si="10"/>
        <v>115</v>
      </c>
      <c r="P51" s="223">
        <v>70.0</v>
      </c>
      <c r="Q51" s="224">
        <v>0.284</v>
      </c>
    </row>
    <row r="52" ht="12.75" customHeight="1">
      <c r="A52" s="62"/>
      <c r="B52" s="63" t="s">
        <v>17</v>
      </c>
      <c r="C52" s="135">
        <f t="shared" si="11"/>
        <v>0.252</v>
      </c>
      <c r="D52" s="133">
        <v>9.0</v>
      </c>
      <c r="E52" s="141">
        <v>0.009</v>
      </c>
      <c r="F52" s="136">
        <f t="shared" si="12"/>
        <v>0.196</v>
      </c>
      <c r="G52" s="70">
        <f t="shared" si="13"/>
        <v>0.156</v>
      </c>
      <c r="H52" s="71">
        <f t="shared" si="14"/>
        <v>0.129</v>
      </c>
      <c r="I52" s="72">
        <f t="shared" si="15"/>
        <v>0.126</v>
      </c>
      <c r="J52" s="73" t="s">
        <v>54</v>
      </c>
      <c r="M52" s="201">
        <v>0.05</v>
      </c>
      <c r="O52">
        <f t="shared" si="10"/>
        <v>120</v>
      </c>
      <c r="P52" s="223">
        <v>75.0</v>
      </c>
      <c r="Q52" s="224">
        <v>0.296</v>
      </c>
    </row>
    <row r="53" ht="12.75" customHeight="1">
      <c r="A53" s="48"/>
      <c r="B53" s="7" t="s">
        <v>18</v>
      </c>
      <c r="C53" s="20">
        <f t="shared" si="11"/>
        <v>0.271</v>
      </c>
      <c r="D53" s="97">
        <v>8.0</v>
      </c>
      <c r="E53" s="164">
        <v>0.007</v>
      </c>
      <c r="F53" s="165">
        <f t="shared" si="12"/>
        <v>0.2055</v>
      </c>
      <c r="G53" s="100">
        <f t="shared" si="13"/>
        <v>0.1655</v>
      </c>
      <c r="H53" s="103">
        <f t="shared" si="14"/>
        <v>0.1385</v>
      </c>
      <c r="I53" s="104">
        <f t="shared" si="15"/>
        <v>0.1355</v>
      </c>
      <c r="J53" s="105" t="s">
        <v>55</v>
      </c>
      <c r="M53" s="201">
        <v>0.041</v>
      </c>
      <c r="O53">
        <f t="shared" si="10"/>
        <v>125</v>
      </c>
      <c r="P53" s="223">
        <v>80.0</v>
      </c>
      <c r="Q53" s="224">
        <v>0.311</v>
      </c>
    </row>
    <row r="54" ht="12.75" customHeight="1">
      <c r="A54" s="62"/>
      <c r="B54" s="63" t="s">
        <v>19</v>
      </c>
      <c r="C54" s="135">
        <f t="shared" si="11"/>
        <v>0.284</v>
      </c>
      <c r="D54" s="133">
        <v>7.0</v>
      </c>
      <c r="E54" s="141">
        <v>0.006</v>
      </c>
      <c r="F54" s="136">
        <f t="shared" si="12"/>
        <v>0.212</v>
      </c>
      <c r="G54" s="70">
        <f t="shared" si="13"/>
        <v>0.172</v>
      </c>
      <c r="H54" s="71">
        <f t="shared" si="14"/>
        <v>0.145</v>
      </c>
      <c r="I54" s="72">
        <f t="shared" si="15"/>
        <v>0.142</v>
      </c>
      <c r="J54" s="73" t="s">
        <v>56</v>
      </c>
      <c r="M54" s="201">
        <v>0.034</v>
      </c>
      <c r="O54">
        <f t="shared" si="10"/>
        <v>130</v>
      </c>
      <c r="P54" s="223">
        <v>85.0</v>
      </c>
      <c r="Q54" s="224">
        <v>0.325</v>
      </c>
    </row>
    <row r="55" ht="12.75" customHeight="1">
      <c r="A55" s="48"/>
      <c r="B55" s="7" t="s">
        <v>20</v>
      </c>
      <c r="C55" s="20">
        <f t="shared" si="11"/>
        <v>0.296</v>
      </c>
      <c r="D55" s="79">
        <v>6.0</v>
      </c>
      <c r="E55" s="141">
        <v>0.008</v>
      </c>
      <c r="F55" s="139">
        <f t="shared" si="12"/>
        <v>0.218</v>
      </c>
      <c r="G55" s="82">
        <f t="shared" si="13"/>
        <v>0.178</v>
      </c>
      <c r="H55" s="83">
        <f t="shared" si="14"/>
        <v>0.151</v>
      </c>
      <c r="I55" s="85">
        <f t="shared" si="15"/>
        <v>0.148</v>
      </c>
      <c r="J55" s="86" t="s">
        <v>57</v>
      </c>
      <c r="M55" s="201">
        <v>0.028</v>
      </c>
      <c r="O55">
        <f t="shared" si="10"/>
        <v>135</v>
      </c>
      <c r="P55" s="223">
        <v>90.0</v>
      </c>
      <c r="Q55" s="224">
        <v>0.338</v>
      </c>
    </row>
    <row r="56" ht="12.75" customHeight="1">
      <c r="A56" s="62"/>
      <c r="B56" s="63" t="s">
        <v>21</v>
      </c>
      <c r="C56" s="135">
        <f t="shared" si="11"/>
        <v>0.311</v>
      </c>
      <c r="D56" s="133">
        <v>5.0</v>
      </c>
      <c r="E56" s="141">
        <v>0.007</v>
      </c>
      <c r="F56" s="136">
        <f t="shared" si="12"/>
        <v>0.2255</v>
      </c>
      <c r="G56" s="70">
        <f t="shared" si="13"/>
        <v>0.1855</v>
      </c>
      <c r="H56" s="71">
        <f t="shared" si="14"/>
        <v>0.1585</v>
      </c>
      <c r="I56" s="72">
        <f t="shared" si="15"/>
        <v>0.1555</v>
      </c>
      <c r="J56" s="73" t="s">
        <v>58</v>
      </c>
      <c r="M56" s="201">
        <v>0.02</v>
      </c>
    </row>
    <row r="57" ht="12.75" customHeight="1">
      <c r="A57" s="48"/>
      <c r="B57" s="7" t="s">
        <v>22</v>
      </c>
      <c r="C57" s="20">
        <f t="shared" si="11"/>
        <v>0.325</v>
      </c>
      <c r="D57" s="79">
        <v>4.0</v>
      </c>
      <c r="E57" s="141">
        <v>0.007</v>
      </c>
      <c r="F57" s="139">
        <f t="shared" si="12"/>
        <v>0.2325</v>
      </c>
      <c r="G57" s="82">
        <f t="shared" si="13"/>
        <v>0.1925</v>
      </c>
      <c r="H57" s="83">
        <f t="shared" si="14"/>
        <v>0.1655</v>
      </c>
      <c r="I57" s="85">
        <f t="shared" si="15"/>
        <v>0.1625</v>
      </c>
      <c r="J57" s="86" t="s">
        <v>59</v>
      </c>
      <c r="M57" s="201">
        <v>0.013</v>
      </c>
    </row>
    <row r="58" ht="12.75" customHeight="1">
      <c r="A58" s="62"/>
      <c r="B58" s="63" t="s">
        <v>23</v>
      </c>
      <c r="C58" s="135">
        <f t="shared" si="11"/>
        <v>0.338</v>
      </c>
      <c r="D58" s="133">
        <v>3.0</v>
      </c>
      <c r="E58" s="141">
        <v>0.006</v>
      </c>
      <c r="F58" s="136">
        <f t="shared" si="12"/>
        <v>0.239</v>
      </c>
      <c r="G58" s="70">
        <f t="shared" si="13"/>
        <v>0.199</v>
      </c>
      <c r="H58" s="71">
        <f t="shared" si="14"/>
        <v>0.172</v>
      </c>
      <c r="I58" s="72">
        <f t="shared" si="15"/>
        <v>0.169</v>
      </c>
      <c r="J58" s="73" t="s">
        <v>65</v>
      </c>
      <c r="M58" s="201">
        <v>0.006</v>
      </c>
    </row>
    <row r="59" ht="12.75" customHeight="1">
      <c r="A59" s="48"/>
      <c r="B59" s="7" t="s">
        <v>24</v>
      </c>
      <c r="C59" s="20">
        <f t="shared" si="11"/>
        <v>0.35</v>
      </c>
      <c r="D59" s="79">
        <v>2.0</v>
      </c>
      <c r="E59" s="141">
        <v>0.0</v>
      </c>
      <c r="F59" s="139">
        <f t="shared" si="12"/>
        <v>0.245</v>
      </c>
      <c r="G59" s="82">
        <f t="shared" si="13"/>
        <v>0.205</v>
      </c>
      <c r="H59" s="83">
        <f t="shared" si="14"/>
        <v>0.178</v>
      </c>
      <c r="I59" s="85">
        <f t="shared" si="15"/>
        <v>0.175</v>
      </c>
      <c r="J59" s="86" t="s">
        <v>66</v>
      </c>
      <c r="M59" s="201">
        <v>0.0</v>
      </c>
    </row>
    <row r="60" ht="12.75" customHeight="1">
      <c r="A60" s="62"/>
      <c r="B60" s="63"/>
      <c r="C60" s="154">
        <f>J15</f>
        <v>0.35</v>
      </c>
      <c r="D60" s="133">
        <v>1.0</v>
      </c>
      <c r="E60" s="134">
        <f>(I61-I60)+E61</f>
        <v>0</v>
      </c>
      <c r="F60" s="136">
        <f>F61</f>
        <v>0.245</v>
      </c>
      <c r="G60" s="70">
        <f t="shared" ref="G60:G61" si="16">G59</f>
        <v>0.205</v>
      </c>
      <c r="H60" s="71">
        <f t="shared" si="14"/>
        <v>0.178</v>
      </c>
      <c r="I60" s="72">
        <f t="shared" si="15"/>
        <v>0.175</v>
      </c>
      <c r="J60" s="73" t="s">
        <v>67</v>
      </c>
      <c r="M60" s="201">
        <v>0.0</v>
      </c>
    </row>
    <row r="61" ht="13.5" customHeight="1">
      <c r="A61" s="112"/>
      <c r="B61" s="142"/>
      <c r="C61" s="143">
        <f>J15</f>
        <v>0.35</v>
      </c>
      <c r="D61" s="115">
        <v>0.0</v>
      </c>
      <c r="E61" s="144">
        <v>0.0</v>
      </c>
      <c r="F61" s="145">
        <f>F59</f>
        <v>0.245</v>
      </c>
      <c r="G61" s="119">
        <f t="shared" si="16"/>
        <v>0.205</v>
      </c>
      <c r="H61" s="121">
        <f t="shared" si="14"/>
        <v>0.178</v>
      </c>
      <c r="I61" s="146">
        <f t="shared" si="15"/>
        <v>0.175</v>
      </c>
      <c r="J61" s="123" t="s">
        <v>70</v>
      </c>
      <c r="M61" s="231">
        <v>0.0</v>
      </c>
    </row>
    <row r="62" ht="12.75" customHeight="1">
      <c r="A62" s="95"/>
      <c r="B62" s="88"/>
      <c r="C62" s="126"/>
      <c r="D62" s="148"/>
      <c r="E62" s="149"/>
      <c r="F62" s="79"/>
      <c r="G62" s="150"/>
      <c r="H62" s="95"/>
      <c r="I62" s="152"/>
      <c r="J62" s="91"/>
    </row>
    <row r="63" ht="12.75" customHeight="1">
      <c r="A63" s="95"/>
      <c r="B63" s="88"/>
      <c r="C63" s="126"/>
      <c r="D63" s="148"/>
      <c r="E63" s="149"/>
      <c r="F63" s="79"/>
      <c r="G63" s="150"/>
      <c r="H63" s="126"/>
      <c r="I63" s="152"/>
      <c r="J63" s="91"/>
    </row>
    <row r="64" ht="12.75" customHeight="1">
      <c r="A64" s="49"/>
      <c r="B64" s="7"/>
      <c r="C64" s="126"/>
      <c r="D64" s="148"/>
      <c r="E64" s="149"/>
      <c r="F64" s="79"/>
      <c r="G64" s="150"/>
      <c r="H64" s="126"/>
      <c r="I64" s="152"/>
      <c r="J64" s="91"/>
    </row>
    <row r="65" ht="12.75" customHeight="1">
      <c r="A65" s="49"/>
      <c r="B65" s="7"/>
      <c r="C65" s="126"/>
      <c r="D65" s="148"/>
      <c r="E65" s="149"/>
      <c r="F65" s="79"/>
      <c r="G65" s="150"/>
      <c r="H65" s="126"/>
      <c r="I65" s="152"/>
      <c r="J65" s="91"/>
      <c r="M65" s="49"/>
      <c r="T65" s="156"/>
    </row>
    <row r="66" ht="12.75" customHeight="1">
      <c r="A66" s="5"/>
      <c r="B66" s="156"/>
      <c r="D66" s="49"/>
      <c r="E66" s="49"/>
      <c r="F66" s="49"/>
      <c r="G66" s="49"/>
      <c r="J66" s="157"/>
      <c r="M66" s="49"/>
      <c r="T66" s="157"/>
    </row>
    <row r="67" ht="12.75" customHeight="1">
      <c r="A67" s="5"/>
      <c r="B67" s="158"/>
      <c r="M67" s="49"/>
      <c r="T67" s="157"/>
    </row>
    <row r="68" ht="12.75" customHeight="1">
      <c r="A68" s="5"/>
      <c r="B68" s="159"/>
      <c r="D68" s="49"/>
      <c r="E68" s="49"/>
      <c r="F68" s="49"/>
      <c r="G68" s="49"/>
      <c r="K68" s="156"/>
      <c r="M68" s="49"/>
      <c r="T68" s="157"/>
    </row>
    <row r="69" ht="12.75" customHeight="1">
      <c r="A69" s="5"/>
      <c r="B69" s="157"/>
      <c r="D69" s="49"/>
      <c r="E69" s="49"/>
      <c r="F69" s="49"/>
      <c r="G69" s="49"/>
      <c r="K69" s="156"/>
    </row>
    <row r="70" ht="12.75" customHeight="1">
      <c r="A70" s="5"/>
      <c r="B70" s="160"/>
      <c r="M70" s="91"/>
      <c r="N70" s="5"/>
      <c r="O70" s="5"/>
      <c r="P70" s="5"/>
      <c r="Q70" s="5"/>
      <c r="R70" s="91"/>
      <c r="S70" s="46"/>
    </row>
    <row r="71" ht="12.75" customHeight="1">
      <c r="A71" s="91"/>
      <c r="B71" s="7"/>
      <c r="C71" s="46"/>
      <c r="D71" s="46"/>
      <c r="E71" s="46"/>
      <c r="F71" s="46"/>
      <c r="G71" s="46"/>
      <c r="H71" s="91"/>
      <c r="I71" s="91"/>
      <c r="J71" s="91"/>
      <c r="K71" s="91"/>
      <c r="M71" s="91"/>
      <c r="N71" s="49"/>
      <c r="O71" s="49"/>
      <c r="P71" s="49"/>
      <c r="Q71" s="49"/>
      <c r="R71" s="46"/>
      <c r="T71" s="46"/>
      <c r="U71" s="7"/>
    </row>
    <row r="72" ht="12.75" customHeight="1">
      <c r="A72" s="7"/>
      <c r="B72" s="128"/>
      <c r="D72" s="7"/>
      <c r="E72" s="7"/>
      <c r="F72" s="7"/>
      <c r="G72" s="7"/>
      <c r="H72" s="7"/>
      <c r="I72" s="7"/>
      <c r="J72" s="7"/>
      <c r="K72" s="7"/>
      <c r="M72" s="7"/>
      <c r="R72" s="7"/>
      <c r="S72" s="7"/>
      <c r="T72" s="7"/>
      <c r="U72" s="7"/>
    </row>
    <row r="73" ht="12.75" customHeight="1">
      <c r="A73" s="7"/>
      <c r="B73" s="10"/>
      <c r="C73" s="76"/>
      <c r="D73" s="162"/>
      <c r="E73" s="162"/>
      <c r="F73" s="162"/>
      <c r="G73" s="162"/>
      <c r="H73" s="162"/>
      <c r="I73" s="162"/>
      <c r="J73" s="91"/>
      <c r="K73" s="91"/>
      <c r="M73" s="7"/>
      <c r="N73" s="10"/>
      <c r="O73" s="10"/>
      <c r="P73" s="10"/>
      <c r="Q73" s="10"/>
      <c r="R73" s="162"/>
      <c r="S73" s="162"/>
      <c r="T73" s="162"/>
      <c r="U73" s="91"/>
    </row>
    <row r="74" ht="12.75" customHeight="1">
      <c r="A74" s="7"/>
      <c r="B74" s="10"/>
      <c r="C74" s="76"/>
      <c r="D74" s="162"/>
      <c r="E74" s="162"/>
      <c r="F74" s="162"/>
      <c r="G74" s="162"/>
      <c r="H74" s="162"/>
      <c r="I74" s="162"/>
      <c r="J74" s="91"/>
      <c r="K74" s="88"/>
      <c r="M74" s="7"/>
      <c r="N74" s="10"/>
      <c r="O74" s="10"/>
      <c r="P74" s="10"/>
      <c r="Q74" s="10"/>
      <c r="R74" s="162"/>
      <c r="S74" s="162"/>
      <c r="T74" s="162"/>
      <c r="U74" s="91"/>
      <c r="V74" s="88"/>
    </row>
    <row r="75" ht="12.75" customHeight="1">
      <c r="A75" s="7"/>
      <c r="B75" s="10"/>
      <c r="C75" s="76"/>
      <c r="D75" s="162"/>
      <c r="E75" s="162"/>
      <c r="F75" s="162"/>
      <c r="G75" s="162"/>
      <c r="H75" s="162"/>
      <c r="I75" s="162"/>
      <c r="J75" s="91"/>
      <c r="K75" s="91"/>
      <c r="M75" s="7"/>
      <c r="N75" s="10"/>
      <c r="O75" s="10"/>
      <c r="P75" s="10"/>
      <c r="Q75" s="10"/>
      <c r="R75" s="162"/>
      <c r="S75" s="162"/>
      <c r="T75" s="162"/>
      <c r="U75" s="91"/>
      <c r="V75" s="91"/>
    </row>
    <row r="76" ht="12.75" customHeight="1">
      <c r="A76" s="7"/>
      <c r="B76" s="10"/>
      <c r="C76" s="76"/>
      <c r="D76" s="162"/>
      <c r="E76" s="162"/>
      <c r="F76" s="162"/>
      <c r="G76" s="162"/>
      <c r="H76" s="162"/>
      <c r="I76" s="162"/>
      <c r="J76" s="91"/>
      <c r="K76" s="91"/>
      <c r="M76" s="7"/>
      <c r="N76" s="10"/>
      <c r="O76" s="10"/>
      <c r="P76" s="10"/>
      <c r="Q76" s="10"/>
      <c r="R76" s="162"/>
      <c r="S76" s="162"/>
      <c r="T76" s="162"/>
      <c r="U76" s="91"/>
      <c r="V76" s="91"/>
    </row>
    <row r="77" ht="12.75" customHeight="1">
      <c r="A77" s="7"/>
      <c r="B77" s="10"/>
      <c r="C77" s="76"/>
      <c r="D77" s="162"/>
      <c r="E77" s="162"/>
      <c r="F77" s="162"/>
      <c r="G77" s="162"/>
      <c r="H77" s="162"/>
      <c r="I77" s="162"/>
      <c r="J77" s="91"/>
      <c r="K77" s="88"/>
      <c r="M77" s="7"/>
      <c r="N77" s="10"/>
      <c r="O77" s="10"/>
      <c r="P77" s="10"/>
      <c r="Q77" s="10"/>
      <c r="R77" s="162"/>
      <c r="S77" s="162"/>
      <c r="T77" s="162"/>
      <c r="U77" s="91"/>
      <c r="V77" s="88"/>
    </row>
    <row r="78" ht="12.75" customHeight="1">
      <c r="A78" s="7"/>
      <c r="B78" s="10"/>
      <c r="C78" s="76"/>
      <c r="D78" s="162"/>
      <c r="E78" s="162"/>
      <c r="F78" s="162"/>
      <c r="G78" s="162"/>
      <c r="H78" s="162"/>
      <c r="I78" s="162"/>
      <c r="J78" s="91"/>
      <c r="K78" s="91"/>
      <c r="M78" s="7"/>
      <c r="N78" s="10"/>
      <c r="O78" s="10"/>
      <c r="P78" s="10"/>
      <c r="Q78" s="10"/>
      <c r="R78" s="162"/>
      <c r="S78" s="162"/>
      <c r="T78" s="162"/>
      <c r="U78" s="91"/>
      <c r="V78" s="91"/>
    </row>
    <row r="79" ht="12.75" customHeight="1">
      <c r="A79" s="7"/>
      <c r="B79" s="10"/>
      <c r="C79" s="76"/>
      <c r="D79" s="162"/>
      <c r="E79" s="162"/>
      <c r="F79" s="162"/>
      <c r="G79" s="162"/>
      <c r="H79" s="162"/>
      <c r="I79" s="162"/>
      <c r="J79" s="91"/>
      <c r="K79" s="91"/>
      <c r="M79" s="7"/>
      <c r="N79" s="10"/>
      <c r="O79" s="10"/>
      <c r="P79" s="10"/>
      <c r="Q79" s="10"/>
      <c r="R79" s="162"/>
      <c r="S79" s="162"/>
      <c r="T79" s="162"/>
      <c r="U79" s="91"/>
      <c r="V79" s="91"/>
    </row>
    <row r="80" ht="12.75" customHeight="1">
      <c r="A80" s="7"/>
      <c r="B80" s="10"/>
      <c r="C80" s="76"/>
      <c r="D80" s="162"/>
      <c r="E80" s="162"/>
      <c r="F80" s="162"/>
      <c r="G80" s="162"/>
      <c r="H80" s="162"/>
      <c r="I80" s="162"/>
      <c r="J80" s="91"/>
      <c r="K80" s="88"/>
      <c r="M80" s="7"/>
      <c r="N80" s="10"/>
      <c r="O80" s="10"/>
      <c r="P80" s="10"/>
      <c r="Q80" s="10"/>
      <c r="R80" s="162"/>
      <c r="S80" s="162"/>
      <c r="T80" s="162"/>
      <c r="U80" s="91"/>
      <c r="V80" s="88"/>
    </row>
    <row r="81" ht="12.75" customHeight="1">
      <c r="A81" s="7"/>
      <c r="B81" s="10"/>
      <c r="C81" s="76"/>
      <c r="D81" s="162"/>
      <c r="E81" s="162"/>
      <c r="F81" s="162"/>
      <c r="G81" s="162"/>
      <c r="H81" s="162"/>
      <c r="I81" s="162"/>
      <c r="J81" s="91"/>
      <c r="K81" s="91"/>
      <c r="M81" s="7"/>
      <c r="N81" s="10"/>
      <c r="O81" s="10"/>
      <c r="P81" s="10"/>
      <c r="Q81" s="10"/>
      <c r="R81" s="162"/>
      <c r="S81" s="162"/>
      <c r="T81" s="162"/>
      <c r="U81" s="91"/>
      <c r="V81" s="91"/>
    </row>
    <row r="82" ht="12.75" customHeight="1">
      <c r="A82" s="7"/>
      <c r="B82" s="10"/>
      <c r="C82" s="10"/>
      <c r="D82" s="162"/>
      <c r="E82" s="162"/>
      <c r="F82" s="162"/>
      <c r="G82" s="162"/>
      <c r="H82" s="162"/>
      <c r="I82" s="162"/>
      <c r="J82" s="91"/>
      <c r="M82" s="7"/>
      <c r="N82" s="10"/>
      <c r="O82" s="10"/>
      <c r="P82" s="10"/>
      <c r="Q82" s="10"/>
      <c r="R82" s="162"/>
      <c r="S82" s="162"/>
      <c r="T82" s="162"/>
      <c r="U82" s="91"/>
    </row>
    <row r="83" ht="12.75" customHeight="1">
      <c r="A83" s="7"/>
      <c r="B83" s="10"/>
      <c r="C83" s="10"/>
      <c r="D83" s="162"/>
      <c r="E83" s="162"/>
      <c r="F83" s="162"/>
      <c r="G83" s="162"/>
      <c r="H83" s="162"/>
      <c r="I83" s="162"/>
      <c r="J83" s="91"/>
      <c r="K83" s="88"/>
      <c r="M83" s="7"/>
      <c r="N83" s="10"/>
      <c r="O83" s="10"/>
      <c r="P83" s="10"/>
      <c r="Q83" s="10"/>
      <c r="R83" s="162"/>
      <c r="S83" s="162"/>
      <c r="T83" s="162"/>
      <c r="U83" s="91"/>
      <c r="V83" s="91"/>
    </row>
    <row r="84" ht="12.75" customHeight="1">
      <c r="A84" s="7"/>
      <c r="C84" s="10"/>
      <c r="D84" s="162"/>
      <c r="E84" s="162"/>
      <c r="F84" s="162"/>
      <c r="G84" s="162"/>
      <c r="K84" s="91"/>
      <c r="M84" s="7"/>
      <c r="N84" s="10"/>
      <c r="O84" s="10"/>
      <c r="P84" s="10"/>
      <c r="Q84" s="10"/>
      <c r="R84" s="162"/>
      <c r="S84" s="162"/>
      <c r="T84" s="162"/>
      <c r="U84" s="91"/>
      <c r="V84" s="88"/>
    </row>
    <row r="85" ht="12.75" customHeight="1">
      <c r="A85" s="7"/>
      <c r="C85" s="10"/>
      <c r="D85" s="162"/>
      <c r="E85" s="162"/>
      <c r="F85" s="162"/>
      <c r="G85" s="162"/>
      <c r="J85" s="7"/>
      <c r="K85" s="7"/>
      <c r="M85" s="7"/>
      <c r="N85" s="76"/>
      <c r="O85" s="76"/>
      <c r="P85" s="76"/>
      <c r="Q85" s="76"/>
      <c r="R85" s="162"/>
      <c r="S85" s="162"/>
      <c r="T85" s="162"/>
      <c r="U85" s="7"/>
      <c r="V85" s="7"/>
    </row>
    <row r="86" ht="12.75" customHeight="1">
      <c r="A86" s="7"/>
      <c r="C86" s="10"/>
      <c r="D86" s="162"/>
      <c r="E86" s="162"/>
      <c r="F86" s="162"/>
      <c r="G86" s="162"/>
      <c r="J86" s="7"/>
      <c r="K86" s="7"/>
    </row>
    <row r="87" ht="12.75" customHeight="1">
      <c r="A87" s="7"/>
      <c r="C87" s="10"/>
      <c r="D87" s="162"/>
      <c r="E87" s="162"/>
      <c r="F87" s="162"/>
      <c r="G87" s="162"/>
    </row>
    <row r="88" ht="12.75" customHeight="1">
      <c r="A88" s="7"/>
      <c r="B88" s="10"/>
      <c r="C88" s="76"/>
      <c r="D88" s="162"/>
      <c r="E88" s="162"/>
      <c r="F88" s="162"/>
      <c r="G88" s="162"/>
      <c r="H88" s="162"/>
      <c r="I88" s="162"/>
    </row>
    <row r="89" ht="12.75" customHeight="1">
      <c r="A89" s="7"/>
      <c r="B89" s="128"/>
      <c r="C89" s="76"/>
      <c r="D89" s="162"/>
      <c r="E89" s="162"/>
      <c r="F89" s="162"/>
      <c r="G89" s="162"/>
      <c r="H89" s="162"/>
      <c r="I89" s="162"/>
    </row>
    <row r="90" ht="12.75" customHeight="1">
      <c r="A90" s="7"/>
      <c r="B90" s="128"/>
      <c r="C90" s="76"/>
      <c r="D90" s="162"/>
      <c r="E90" s="162"/>
      <c r="F90" s="162"/>
      <c r="G90" s="162"/>
      <c r="H90" s="162"/>
      <c r="I90" s="162"/>
    </row>
    <row r="91" ht="12.75" customHeight="1">
      <c r="A91" s="7"/>
      <c r="B91" s="128"/>
      <c r="C91" s="76"/>
      <c r="D91" s="162"/>
      <c r="E91" s="162"/>
      <c r="F91" s="162"/>
      <c r="G91" s="162"/>
      <c r="H91" s="162"/>
      <c r="I91" s="162"/>
    </row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4">
    <mergeCell ref="A17:C17"/>
    <mergeCell ref="A18:C18"/>
    <mergeCell ref="G18:I18"/>
    <mergeCell ref="G44:I44"/>
  </mergeCells>
  <printOptions/>
  <pageMargins bottom="0.75" footer="0.0" header="0.0" left="0.7" right="0.7" top="0.75"/>
  <pageSetup scale="90" orientation="landscape"/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8.5"/>
    <col customWidth="1" min="3" max="3" width="10.25"/>
    <col customWidth="1" min="4" max="4" width="7.0"/>
    <col customWidth="1" min="5" max="5" width="8.13"/>
    <col customWidth="1" min="6" max="6" width="8.88"/>
    <col customWidth="1" min="7" max="7" width="7.25"/>
    <col customWidth="1" min="8" max="8" width="9.13"/>
    <col customWidth="1" min="9" max="9" width="7.88"/>
    <col customWidth="1" min="10" max="10" width="8.88"/>
    <col customWidth="1" min="11" max="11" width="8.13"/>
    <col customWidth="1" min="12" max="12" width="7.0"/>
    <col customWidth="1" min="13" max="13" width="11.25"/>
    <col customWidth="1" min="14" max="26" width="7.0"/>
  </cols>
  <sheetData>
    <row r="1">
      <c r="A1" s="197" t="s">
        <v>106</v>
      </c>
      <c r="G1" s="2" t="s">
        <v>0</v>
      </c>
      <c r="I1" s="3"/>
    </row>
    <row r="2" ht="12.75" customHeight="1">
      <c r="A2" t="s">
        <v>1</v>
      </c>
    </row>
    <row r="3" ht="12.75" customHeight="1">
      <c r="G3" s="4" t="s">
        <v>2</v>
      </c>
      <c r="H3" s="4"/>
      <c r="I3" s="4"/>
      <c r="J3" s="4" t="s">
        <v>3</v>
      </c>
    </row>
    <row r="4" ht="12.75" customHeight="1">
      <c r="A4" s="5" t="s">
        <v>4</v>
      </c>
      <c r="B4" s="6" t="s">
        <v>107</v>
      </c>
      <c r="G4" s="7" t="s">
        <v>5</v>
      </c>
      <c r="H4" s="8">
        <v>0.06</v>
      </c>
      <c r="I4" t="s">
        <v>6</v>
      </c>
      <c r="J4" s="9">
        <v>0.203</v>
      </c>
      <c r="K4" t="s">
        <v>6</v>
      </c>
      <c r="R4" s="10"/>
    </row>
    <row r="5" ht="12.75" customHeight="1">
      <c r="A5" s="5" t="s">
        <v>8</v>
      </c>
      <c r="B5" s="6" t="s">
        <v>105</v>
      </c>
      <c r="G5" s="7" t="s">
        <v>9</v>
      </c>
      <c r="H5" s="8">
        <v>0.068</v>
      </c>
      <c r="J5" s="9">
        <v>0.211</v>
      </c>
      <c r="R5" s="10"/>
    </row>
    <row r="6" ht="12.75" customHeight="1">
      <c r="A6" s="5" t="s">
        <v>10</v>
      </c>
      <c r="B6" s="12" t="s">
        <v>11</v>
      </c>
      <c r="G6" s="7" t="s">
        <v>13</v>
      </c>
      <c r="H6" s="8">
        <v>0.084</v>
      </c>
      <c r="J6" s="9">
        <v>0.225</v>
      </c>
      <c r="R6" s="10"/>
    </row>
    <row r="7" ht="12.75" customHeight="1">
      <c r="A7" s="5" t="s">
        <v>14</v>
      </c>
      <c r="B7" s="13">
        <v>0.2215</v>
      </c>
      <c r="G7" s="7" t="s">
        <v>16</v>
      </c>
      <c r="H7" s="8">
        <v>0.101</v>
      </c>
      <c r="J7" s="9">
        <v>0.24</v>
      </c>
      <c r="R7" s="10"/>
    </row>
    <row r="8" ht="12.75" customHeight="1">
      <c r="G8" s="7" t="s">
        <v>17</v>
      </c>
      <c r="H8" s="8">
        <v>0.118</v>
      </c>
      <c r="J8" s="9">
        <v>0.254</v>
      </c>
      <c r="R8" s="10"/>
    </row>
    <row r="9" ht="12.75" customHeight="1">
      <c r="G9" s="7" t="s">
        <v>18</v>
      </c>
      <c r="H9" s="8">
        <v>0.133</v>
      </c>
      <c r="J9" s="9">
        <v>0.269</v>
      </c>
      <c r="R9" s="10"/>
    </row>
    <row r="10" ht="12.75" customHeight="1">
      <c r="G10" s="7" t="s">
        <v>19</v>
      </c>
      <c r="H10" s="8">
        <v>0.148</v>
      </c>
      <c r="J10" s="9">
        <v>0.283</v>
      </c>
      <c r="R10" s="10"/>
    </row>
    <row r="11" ht="12.75" customHeight="1">
      <c r="G11" s="7" t="s">
        <v>20</v>
      </c>
      <c r="H11" s="8">
        <v>0.163</v>
      </c>
      <c r="J11" s="9">
        <v>0.296</v>
      </c>
      <c r="R11" s="10"/>
    </row>
    <row r="12" ht="12.75" customHeight="1">
      <c r="G12" s="7" t="s">
        <v>21</v>
      </c>
      <c r="H12" s="8">
        <v>0.178</v>
      </c>
      <c r="J12" s="9">
        <v>0.313</v>
      </c>
      <c r="R12" s="10"/>
    </row>
    <row r="13" ht="12.75" customHeight="1">
      <c r="G13" s="7" t="s">
        <v>22</v>
      </c>
      <c r="H13" s="8">
        <v>0.193</v>
      </c>
      <c r="J13" s="9">
        <v>0.328</v>
      </c>
      <c r="R13" s="10"/>
    </row>
    <row r="14" ht="12.75" customHeight="1">
      <c r="G14" s="7" t="s">
        <v>23</v>
      </c>
      <c r="H14" s="8">
        <v>0.208</v>
      </c>
      <c r="J14" s="9">
        <v>0.342</v>
      </c>
      <c r="R14" s="10"/>
    </row>
    <row r="15" ht="12.75" customHeight="1">
      <c r="G15" s="7" t="s">
        <v>24</v>
      </c>
      <c r="H15" s="8">
        <v>0.223</v>
      </c>
      <c r="I15" t="s">
        <v>6</v>
      </c>
      <c r="J15" s="9">
        <v>0.357</v>
      </c>
      <c r="K15" t="s">
        <v>6</v>
      </c>
      <c r="R15" s="10"/>
    </row>
    <row r="16" ht="12.75" customHeight="1">
      <c r="G16" s="17" t="s">
        <v>25</v>
      </c>
      <c r="H16" s="18">
        <f>H15</f>
        <v>0.223</v>
      </c>
      <c r="I16" s="19"/>
      <c r="J16" s="18">
        <f>J15</f>
        <v>0.357</v>
      </c>
      <c r="K16" s="18"/>
      <c r="M16" s="20"/>
      <c r="R16" s="10"/>
    </row>
    <row r="17" ht="13.5" customHeight="1">
      <c r="A17" s="4" t="s">
        <v>26</v>
      </c>
      <c r="D17" s="21">
        <v>0.07</v>
      </c>
      <c r="G17" s="17" t="s">
        <v>68</v>
      </c>
      <c r="H17" s="18">
        <f>H15</f>
        <v>0.223</v>
      </c>
      <c r="I17" s="19"/>
      <c r="J17" s="17">
        <v>0.294</v>
      </c>
      <c r="K17" s="18"/>
      <c r="M17" s="20"/>
      <c r="R17" s="10"/>
    </row>
    <row r="18" ht="13.5" customHeight="1">
      <c r="A18" s="4" t="s">
        <v>28</v>
      </c>
      <c r="D18" s="25">
        <v>0.03</v>
      </c>
      <c r="G18" s="168" t="s">
        <v>29</v>
      </c>
      <c r="H18" s="153"/>
      <c r="I18" s="155"/>
      <c r="J18" s="7"/>
      <c r="K18" s="26"/>
      <c r="M18" s="20"/>
      <c r="R18" s="10"/>
    </row>
    <row r="19">
      <c r="D19" s="32"/>
      <c r="G19" s="32"/>
      <c r="J19" s="7"/>
      <c r="L19" s="35" t="s">
        <v>30</v>
      </c>
    </row>
    <row r="20" ht="12.75" customHeight="1">
      <c r="A20" s="33"/>
      <c r="B20" s="34"/>
      <c r="C20" s="36" t="s">
        <v>31</v>
      </c>
      <c r="D20" s="36" t="s">
        <v>33</v>
      </c>
      <c r="E20" s="37" t="s">
        <v>35</v>
      </c>
      <c r="F20" s="45" t="s">
        <v>41</v>
      </c>
      <c r="G20" s="47" t="s">
        <v>42</v>
      </c>
      <c r="H20" s="40" t="s">
        <v>38</v>
      </c>
      <c r="I20" s="41" t="s">
        <v>39</v>
      </c>
      <c r="J20" s="42"/>
      <c r="L20" s="43" t="s">
        <v>33</v>
      </c>
      <c r="M20" s="44" t="s">
        <v>40</v>
      </c>
      <c r="O20" s="46"/>
    </row>
    <row r="21" ht="12.75" customHeight="1">
      <c r="A21" s="48"/>
      <c r="B21" s="7" t="s">
        <v>2</v>
      </c>
      <c r="C21" s="49" t="s">
        <v>43</v>
      </c>
      <c r="D21" s="7" t="s">
        <v>44</v>
      </c>
      <c r="E21" s="215"/>
      <c r="F21" s="57" t="s">
        <v>46</v>
      </c>
      <c r="G21" s="54" t="s">
        <v>46</v>
      </c>
      <c r="H21" s="56" t="s">
        <v>47</v>
      </c>
      <c r="I21" s="58" t="s">
        <v>37</v>
      </c>
      <c r="J21" s="59" t="s">
        <v>33</v>
      </c>
      <c r="L21" s="60"/>
      <c r="M21" s="61" t="s">
        <v>80</v>
      </c>
      <c r="O21" s="7"/>
      <c r="W21" s="20"/>
    </row>
    <row r="22" ht="13.5" customHeight="1">
      <c r="A22" s="62"/>
      <c r="B22" s="63" t="s">
        <v>5</v>
      </c>
      <c r="C22" s="65">
        <f t="shared" ref="C22:C32" si="1">H4</f>
        <v>0.06</v>
      </c>
      <c r="D22" s="66">
        <v>13.0</v>
      </c>
      <c r="E22" s="92">
        <v>0.004</v>
      </c>
      <c r="F22" s="68">
        <f t="shared" ref="F22:F32" si="2">I22+$D$17</f>
        <v>0.1</v>
      </c>
      <c r="G22" s="70">
        <f t="shared" ref="G22:G32" si="3">I22+$D$18</f>
        <v>0.06</v>
      </c>
      <c r="H22" s="71">
        <f t="shared" ref="H22:H32" si="4">I22+0.003</f>
        <v>0.033</v>
      </c>
      <c r="I22" s="72">
        <f t="shared" ref="I22:I32" si="5">C22/2</f>
        <v>0.03</v>
      </c>
      <c r="J22" s="73" t="s">
        <v>49</v>
      </c>
      <c r="L22" s="218" t="s">
        <v>79</v>
      </c>
      <c r="M22" s="177">
        <v>0.089</v>
      </c>
      <c r="O22" s="76"/>
      <c r="W22" s="20"/>
    </row>
    <row r="23" ht="13.5" customHeight="1">
      <c r="A23" s="77" t="s">
        <v>50</v>
      </c>
      <c r="B23" s="7" t="s">
        <v>9</v>
      </c>
      <c r="C23" s="76">
        <f t="shared" si="1"/>
        <v>0.068</v>
      </c>
      <c r="D23" s="79">
        <v>12.0</v>
      </c>
      <c r="E23" s="93">
        <v>0.008</v>
      </c>
      <c r="F23" s="81">
        <f t="shared" si="2"/>
        <v>0.104</v>
      </c>
      <c r="G23" s="82">
        <f t="shared" si="3"/>
        <v>0.064</v>
      </c>
      <c r="H23" s="83">
        <f t="shared" si="4"/>
        <v>0.037</v>
      </c>
      <c r="I23" s="85">
        <f t="shared" si="5"/>
        <v>0.034</v>
      </c>
      <c r="J23" s="86" t="s">
        <v>51</v>
      </c>
      <c r="L23" s="218" t="s">
        <v>81</v>
      </c>
      <c r="M23" s="177">
        <v>0.085</v>
      </c>
      <c r="O23" s="76"/>
      <c r="U23" s="88"/>
      <c r="W23" s="4"/>
    </row>
    <row r="24" ht="13.5" customHeight="1">
      <c r="A24" s="62"/>
      <c r="B24" s="63" t="s">
        <v>13</v>
      </c>
      <c r="C24" s="65">
        <f t="shared" si="1"/>
        <v>0.084</v>
      </c>
      <c r="D24" s="66">
        <v>11.0</v>
      </c>
      <c r="E24" s="92">
        <v>0.0085</v>
      </c>
      <c r="F24" s="68">
        <f t="shared" si="2"/>
        <v>0.112</v>
      </c>
      <c r="G24" s="70">
        <f t="shared" si="3"/>
        <v>0.072</v>
      </c>
      <c r="H24" s="71">
        <f t="shared" si="4"/>
        <v>0.045</v>
      </c>
      <c r="I24" s="72">
        <f t="shared" si="5"/>
        <v>0.042</v>
      </c>
      <c r="J24" s="73" t="s">
        <v>52</v>
      </c>
      <c r="L24" s="218" t="s">
        <v>82</v>
      </c>
      <c r="M24" s="177">
        <v>0.077</v>
      </c>
      <c r="O24" s="76"/>
      <c r="U24" s="91"/>
      <c r="W24" s="4"/>
    </row>
    <row r="25" ht="13.5" customHeight="1">
      <c r="A25" s="48"/>
      <c r="B25" s="7" t="s">
        <v>16</v>
      </c>
      <c r="C25" s="76">
        <f t="shared" si="1"/>
        <v>0.101</v>
      </c>
      <c r="D25" s="79">
        <v>10.0</v>
      </c>
      <c r="E25" s="93">
        <v>0.0085</v>
      </c>
      <c r="F25" s="81">
        <f t="shared" si="2"/>
        <v>0.1205</v>
      </c>
      <c r="G25" s="82">
        <f t="shared" si="3"/>
        <v>0.0805</v>
      </c>
      <c r="H25" s="83">
        <f t="shared" si="4"/>
        <v>0.0535</v>
      </c>
      <c r="I25" s="85">
        <f t="shared" si="5"/>
        <v>0.0505</v>
      </c>
      <c r="J25" s="86" t="s">
        <v>53</v>
      </c>
      <c r="L25" s="218" t="s">
        <v>83</v>
      </c>
      <c r="M25" s="177">
        <v>0.0685</v>
      </c>
      <c r="O25" s="76"/>
      <c r="U25" s="91"/>
      <c r="W25" s="20"/>
    </row>
    <row r="26" ht="13.5" customHeight="1">
      <c r="A26" s="62"/>
      <c r="B26" s="63" t="s">
        <v>17</v>
      </c>
      <c r="C26" s="65">
        <f t="shared" si="1"/>
        <v>0.118</v>
      </c>
      <c r="D26" s="66">
        <v>9.0</v>
      </c>
      <c r="E26" s="92">
        <v>0.0075</v>
      </c>
      <c r="F26" s="68">
        <f t="shared" si="2"/>
        <v>0.129</v>
      </c>
      <c r="G26" s="70">
        <f t="shared" si="3"/>
        <v>0.089</v>
      </c>
      <c r="H26" s="71">
        <f t="shared" si="4"/>
        <v>0.062</v>
      </c>
      <c r="I26" s="72">
        <f t="shared" si="5"/>
        <v>0.059</v>
      </c>
      <c r="J26" s="73" t="s">
        <v>54</v>
      </c>
      <c r="L26" s="218" t="s">
        <v>84</v>
      </c>
      <c r="M26" s="177">
        <v>0.06</v>
      </c>
      <c r="O26" s="76"/>
      <c r="U26" s="88"/>
    </row>
    <row r="27" ht="13.5" customHeight="1">
      <c r="A27" s="48"/>
      <c r="B27" s="7" t="s">
        <v>18</v>
      </c>
      <c r="C27" s="76">
        <f t="shared" si="1"/>
        <v>0.133</v>
      </c>
      <c r="D27" s="97">
        <v>8.0</v>
      </c>
      <c r="E27" s="98">
        <v>0.0075</v>
      </c>
      <c r="F27" s="99">
        <f t="shared" si="2"/>
        <v>0.1365</v>
      </c>
      <c r="G27" s="100">
        <f t="shared" si="3"/>
        <v>0.0965</v>
      </c>
      <c r="H27" s="103">
        <f t="shared" si="4"/>
        <v>0.0695</v>
      </c>
      <c r="I27" s="104">
        <f t="shared" si="5"/>
        <v>0.0665</v>
      </c>
      <c r="J27" s="105" t="s">
        <v>55</v>
      </c>
      <c r="L27" s="218" t="s">
        <v>85</v>
      </c>
      <c r="M27" s="177">
        <v>0.0525</v>
      </c>
      <c r="O27" s="76"/>
      <c r="U27" s="91"/>
    </row>
    <row r="28" ht="13.5" customHeight="1">
      <c r="A28" s="62"/>
      <c r="B28" s="63" t="s">
        <v>19</v>
      </c>
      <c r="C28" s="65">
        <f t="shared" si="1"/>
        <v>0.148</v>
      </c>
      <c r="D28" s="66">
        <v>7.0</v>
      </c>
      <c r="E28" s="92">
        <v>0.0075</v>
      </c>
      <c r="F28" s="68">
        <f t="shared" si="2"/>
        <v>0.144</v>
      </c>
      <c r="G28" s="70">
        <f t="shared" si="3"/>
        <v>0.104</v>
      </c>
      <c r="H28" s="71">
        <f t="shared" si="4"/>
        <v>0.077</v>
      </c>
      <c r="I28" s="72">
        <f t="shared" si="5"/>
        <v>0.074</v>
      </c>
      <c r="J28" s="73" t="s">
        <v>56</v>
      </c>
      <c r="L28" s="218" t="s">
        <v>86</v>
      </c>
      <c r="M28" s="177">
        <v>0.045</v>
      </c>
      <c r="O28" s="76"/>
      <c r="U28" s="91"/>
    </row>
    <row r="29" ht="13.5" customHeight="1">
      <c r="A29" s="48"/>
      <c r="B29" s="7" t="s">
        <v>20</v>
      </c>
      <c r="C29" s="76">
        <f t="shared" si="1"/>
        <v>0.163</v>
      </c>
      <c r="D29" s="79">
        <v>6.0</v>
      </c>
      <c r="E29" s="93">
        <v>0.0075</v>
      </c>
      <c r="F29" s="81">
        <f t="shared" si="2"/>
        <v>0.1515</v>
      </c>
      <c r="G29" s="82">
        <f t="shared" si="3"/>
        <v>0.1115</v>
      </c>
      <c r="H29" s="83">
        <f t="shared" si="4"/>
        <v>0.0845</v>
      </c>
      <c r="I29" s="85">
        <f t="shared" si="5"/>
        <v>0.0815</v>
      </c>
      <c r="J29" s="86" t="s">
        <v>57</v>
      </c>
      <c r="L29" s="218" t="s">
        <v>87</v>
      </c>
      <c r="M29" s="177">
        <v>0.0375</v>
      </c>
      <c r="O29" s="76"/>
      <c r="U29" s="88"/>
    </row>
    <row r="30" ht="13.5" customHeight="1">
      <c r="A30" s="62"/>
      <c r="B30" s="63" t="s">
        <v>21</v>
      </c>
      <c r="C30" s="65">
        <f t="shared" si="1"/>
        <v>0.178</v>
      </c>
      <c r="D30" s="66">
        <v>5.0</v>
      </c>
      <c r="E30" s="92">
        <v>0.0075</v>
      </c>
      <c r="F30" s="68">
        <f t="shared" si="2"/>
        <v>0.159</v>
      </c>
      <c r="G30" s="70">
        <f t="shared" si="3"/>
        <v>0.119</v>
      </c>
      <c r="H30" s="71">
        <f t="shared" si="4"/>
        <v>0.092</v>
      </c>
      <c r="I30" s="72">
        <f t="shared" si="5"/>
        <v>0.089</v>
      </c>
      <c r="J30" s="73" t="s">
        <v>58</v>
      </c>
      <c r="L30" s="218" t="s">
        <v>88</v>
      </c>
      <c r="M30" s="177">
        <v>0.03</v>
      </c>
      <c r="O30" s="76"/>
      <c r="U30" s="91"/>
    </row>
    <row r="31" ht="13.5" customHeight="1">
      <c r="A31" s="94"/>
      <c r="B31" s="7" t="s">
        <v>22</v>
      </c>
      <c r="C31" s="76">
        <f t="shared" si="1"/>
        <v>0.193</v>
      </c>
      <c r="D31" s="79">
        <v>4.0</v>
      </c>
      <c r="E31" s="93">
        <v>0.0075</v>
      </c>
      <c r="F31" s="81">
        <f t="shared" si="2"/>
        <v>0.1665</v>
      </c>
      <c r="G31" s="82">
        <f t="shared" si="3"/>
        <v>0.1265</v>
      </c>
      <c r="H31" s="83">
        <f t="shared" si="4"/>
        <v>0.0995</v>
      </c>
      <c r="I31" s="85">
        <f t="shared" si="5"/>
        <v>0.0965</v>
      </c>
      <c r="J31" s="86" t="s">
        <v>59</v>
      </c>
      <c r="L31" s="218" t="s">
        <v>89</v>
      </c>
      <c r="M31" s="177">
        <v>0.0225</v>
      </c>
      <c r="N31" s="95"/>
      <c r="O31" s="76"/>
    </row>
    <row r="32" ht="13.5" customHeight="1">
      <c r="A32" s="96"/>
      <c r="B32" s="63" t="s">
        <v>23</v>
      </c>
      <c r="C32" s="65">
        <f t="shared" si="1"/>
        <v>0.208</v>
      </c>
      <c r="D32" s="66">
        <v>3.0</v>
      </c>
      <c r="E32" s="92">
        <v>0.0075</v>
      </c>
      <c r="F32" s="68">
        <f t="shared" si="2"/>
        <v>0.174</v>
      </c>
      <c r="G32" s="70">
        <f t="shared" si="3"/>
        <v>0.134</v>
      </c>
      <c r="H32" s="71">
        <f t="shared" si="4"/>
        <v>0.107</v>
      </c>
      <c r="I32" s="72">
        <f t="shared" si="5"/>
        <v>0.104</v>
      </c>
      <c r="J32" s="73" t="s">
        <v>65</v>
      </c>
      <c r="L32" s="218" t="s">
        <v>91</v>
      </c>
      <c r="M32" s="177">
        <v>0.015</v>
      </c>
      <c r="N32" s="95"/>
      <c r="O32" s="76"/>
    </row>
    <row r="33" ht="13.5" customHeight="1">
      <c r="A33" s="94"/>
      <c r="B33" s="24" t="s">
        <v>108</v>
      </c>
      <c r="C33" s="78">
        <v>0.211</v>
      </c>
      <c r="D33" s="79"/>
      <c r="E33" s="93"/>
      <c r="F33" s="81"/>
      <c r="G33" s="82"/>
      <c r="H33" s="83"/>
      <c r="I33" s="85"/>
      <c r="J33" s="86"/>
      <c r="L33" s="218"/>
      <c r="M33" s="177"/>
      <c r="N33" s="95"/>
      <c r="O33" s="76"/>
    </row>
    <row r="34" ht="13.5" customHeight="1">
      <c r="A34" s="102"/>
      <c r="B34" s="206" t="s">
        <v>109</v>
      </c>
      <c r="C34" s="207">
        <v>0.214</v>
      </c>
      <c r="D34" s="208"/>
      <c r="E34" s="92"/>
      <c r="F34" s="209"/>
      <c r="G34" s="210"/>
      <c r="H34" s="211"/>
      <c r="I34" s="212"/>
      <c r="J34" s="213"/>
      <c r="L34" s="218"/>
      <c r="M34" s="177"/>
      <c r="N34" s="95"/>
      <c r="O34" s="76"/>
    </row>
    <row r="35" ht="13.5" customHeight="1">
      <c r="A35" s="94"/>
      <c r="B35" s="24" t="s">
        <v>110</v>
      </c>
      <c r="C35" s="78">
        <v>0.217</v>
      </c>
      <c r="D35" s="79"/>
      <c r="E35" s="93"/>
      <c r="F35" s="81"/>
      <c r="G35" s="82"/>
      <c r="H35" s="83"/>
      <c r="I35" s="85"/>
      <c r="J35" s="86"/>
      <c r="L35" s="218"/>
      <c r="M35" s="177"/>
      <c r="N35" s="95"/>
      <c r="O35" s="76"/>
    </row>
    <row r="36" ht="13.5" customHeight="1">
      <c r="A36" s="225" t="s">
        <v>113</v>
      </c>
      <c r="B36" s="206" t="s">
        <v>111</v>
      </c>
      <c r="C36" s="207">
        <v>0.22</v>
      </c>
      <c r="D36" s="208"/>
      <c r="E36" s="92"/>
      <c r="F36" s="209"/>
      <c r="G36" s="210"/>
      <c r="H36" s="211"/>
      <c r="I36" s="212"/>
      <c r="J36" s="213"/>
      <c r="L36" s="218"/>
      <c r="M36" s="177"/>
      <c r="N36" s="95"/>
      <c r="O36" s="76"/>
    </row>
    <row r="37" ht="13.5" customHeight="1">
      <c r="A37" s="94"/>
      <c r="B37" s="7" t="s">
        <v>24</v>
      </c>
      <c r="C37" s="76">
        <f>H15</f>
        <v>0.223</v>
      </c>
      <c r="D37" s="79">
        <v>2.0</v>
      </c>
      <c r="E37" s="93">
        <v>0.0075</v>
      </c>
      <c r="F37" s="81">
        <f>I37+$D$17</f>
        <v>0.1815</v>
      </c>
      <c r="G37" s="82">
        <f t="shared" ref="G37:G39" si="6">I37+$D$18</f>
        <v>0.1415</v>
      </c>
      <c r="H37" s="83">
        <f t="shared" ref="H37:H39" si="7">I37+0.003</f>
        <v>0.1145</v>
      </c>
      <c r="I37" s="85">
        <f t="shared" ref="I37:I39" si="8">C37/2</f>
        <v>0.1115</v>
      </c>
      <c r="J37" s="86" t="s">
        <v>66</v>
      </c>
      <c r="L37" s="218" t="s">
        <v>92</v>
      </c>
      <c r="M37" s="177">
        <v>0.0075</v>
      </c>
      <c r="O37" s="76"/>
    </row>
    <row r="38" ht="13.5" customHeight="1">
      <c r="A38" s="62"/>
      <c r="B38" s="108" t="s">
        <v>25</v>
      </c>
      <c r="C38" s="226">
        <v>0.238</v>
      </c>
      <c r="D38" s="66">
        <v>1.0</v>
      </c>
      <c r="E38" s="92">
        <v>0.0</v>
      </c>
      <c r="F38" s="68">
        <f>F39</f>
        <v>0.1815</v>
      </c>
      <c r="G38" s="70">
        <f t="shared" si="6"/>
        <v>0.149</v>
      </c>
      <c r="H38" s="71">
        <f t="shared" si="7"/>
        <v>0.122</v>
      </c>
      <c r="I38" s="72">
        <f t="shared" si="8"/>
        <v>0.119</v>
      </c>
      <c r="J38" s="73" t="s">
        <v>67</v>
      </c>
      <c r="L38" s="218" t="s">
        <v>93</v>
      </c>
      <c r="M38" s="177">
        <v>0.0</v>
      </c>
      <c r="O38" s="76"/>
    </row>
    <row r="39" ht="13.5" customHeight="1">
      <c r="A39" s="112"/>
      <c r="B39" s="113" t="s">
        <v>68</v>
      </c>
      <c r="C39" s="114">
        <f>H17</f>
        <v>0.223</v>
      </c>
      <c r="D39" s="115">
        <v>0.0</v>
      </c>
      <c r="E39" s="116">
        <v>0.0</v>
      </c>
      <c r="F39" s="117">
        <f>F37</f>
        <v>0.1815</v>
      </c>
      <c r="G39" s="119">
        <f t="shared" si="6"/>
        <v>0.1415</v>
      </c>
      <c r="H39" s="121">
        <f t="shared" si="7"/>
        <v>0.1145</v>
      </c>
      <c r="I39" s="122">
        <f t="shared" si="8"/>
        <v>0.1115</v>
      </c>
      <c r="J39" s="123" t="s">
        <v>70</v>
      </c>
      <c r="L39" s="228" t="s">
        <v>94</v>
      </c>
      <c r="M39" s="185">
        <v>0.0</v>
      </c>
      <c r="O39" s="76"/>
    </row>
    <row r="40" ht="12.75" customHeight="1">
      <c r="B40" s="7"/>
      <c r="C40" s="76"/>
      <c r="D40" s="76"/>
      <c r="E40" s="76"/>
      <c r="F40" s="76"/>
      <c r="G40" s="76"/>
      <c r="H40" s="76"/>
      <c r="I40" s="76"/>
      <c r="J40" s="91"/>
      <c r="K40" s="49"/>
      <c r="L40" s="7"/>
      <c r="M40" s="126"/>
      <c r="N40" s="126"/>
      <c r="O40" s="126"/>
      <c r="P40" s="126"/>
      <c r="Q40" s="126"/>
      <c r="R40" s="126"/>
      <c r="S40" s="126"/>
      <c r="T40" s="91"/>
    </row>
    <row r="41" ht="12.75" customHeight="1">
      <c r="A41" s="49"/>
      <c r="B41" s="7"/>
      <c r="C41" s="76"/>
      <c r="D41" s="76"/>
      <c r="E41" s="76"/>
      <c r="F41" s="76"/>
      <c r="G41" s="76"/>
      <c r="H41" s="76"/>
      <c r="I41" s="76"/>
      <c r="J41" s="91"/>
      <c r="K41" s="49"/>
      <c r="L41" s="7"/>
      <c r="M41" s="126"/>
      <c r="N41" s="126"/>
      <c r="O41" s="126"/>
      <c r="P41" s="126"/>
      <c r="Q41" s="126"/>
      <c r="R41" s="126"/>
      <c r="S41" s="126"/>
      <c r="T41" s="91"/>
    </row>
    <row r="42" ht="12.75" customHeight="1">
      <c r="A42" s="49"/>
      <c r="B42" s="7"/>
      <c r="C42" s="76"/>
      <c r="D42" s="76"/>
      <c r="E42" s="76"/>
      <c r="F42" s="76"/>
      <c r="G42" s="76"/>
      <c r="H42" s="76"/>
      <c r="I42" s="76"/>
      <c r="J42" s="91"/>
      <c r="K42" s="49"/>
      <c r="L42" s="7"/>
      <c r="M42" s="126"/>
      <c r="N42" s="126"/>
      <c r="O42" s="126"/>
      <c r="P42" s="126"/>
      <c r="Q42" s="126"/>
      <c r="R42" s="126"/>
      <c r="S42" s="126"/>
      <c r="T42" s="91"/>
    </row>
    <row r="43" ht="12.75" customHeight="1">
      <c r="B43" s="7"/>
      <c r="C43" s="76"/>
      <c r="D43" s="76"/>
      <c r="E43" s="76"/>
      <c r="F43" s="76"/>
      <c r="G43" s="76"/>
      <c r="H43" s="76"/>
      <c r="I43" s="76"/>
      <c r="J43" s="91"/>
      <c r="K43" s="49"/>
      <c r="L43" s="7"/>
      <c r="M43" s="126"/>
      <c r="N43" s="126"/>
      <c r="O43" s="126"/>
      <c r="P43" s="126"/>
      <c r="Q43" s="126"/>
      <c r="R43" s="126"/>
      <c r="S43" s="126"/>
      <c r="T43" s="91"/>
    </row>
    <row r="44" ht="12.75" customHeight="1">
      <c r="B44" s="7"/>
      <c r="C44" s="76"/>
      <c r="D44" s="76"/>
      <c r="E44" s="76"/>
      <c r="F44" s="76"/>
      <c r="G44" s="151" t="s">
        <v>71</v>
      </c>
      <c r="H44" s="153"/>
      <c r="I44" s="155"/>
      <c r="J44" s="91"/>
      <c r="K44" s="49"/>
      <c r="L44" s="7"/>
      <c r="M44" s="126"/>
      <c r="N44" s="126"/>
      <c r="O44" s="126"/>
      <c r="P44" s="126"/>
      <c r="Q44" s="126"/>
      <c r="R44" s="126"/>
      <c r="S44" s="126"/>
      <c r="T44" s="91"/>
    </row>
    <row r="45">
      <c r="D45" s="127"/>
      <c r="E45" s="127"/>
      <c r="F45" s="127"/>
      <c r="G45" s="127"/>
      <c r="H45" s="128"/>
      <c r="L45" s="35" t="s">
        <v>30</v>
      </c>
    </row>
    <row r="46" ht="12.75" customHeight="1">
      <c r="A46" s="129"/>
      <c r="B46" s="34"/>
      <c r="C46" s="36" t="s">
        <v>31</v>
      </c>
      <c r="D46" s="36" t="s">
        <v>33</v>
      </c>
      <c r="E46" s="37" t="s">
        <v>35</v>
      </c>
      <c r="F46" s="45" t="s">
        <v>41</v>
      </c>
      <c r="G46" s="47" t="s">
        <v>42</v>
      </c>
      <c r="H46" s="40" t="s">
        <v>38</v>
      </c>
      <c r="I46" s="41" t="s">
        <v>39</v>
      </c>
      <c r="J46" s="130"/>
      <c r="L46" s="43" t="s">
        <v>33</v>
      </c>
      <c r="M46" s="44" t="s">
        <v>40</v>
      </c>
    </row>
    <row r="47" ht="12.75" customHeight="1">
      <c r="A47" s="131"/>
      <c r="B47" s="7" t="s">
        <v>3</v>
      </c>
      <c r="C47" s="49" t="s">
        <v>43</v>
      </c>
      <c r="D47" s="7" t="s">
        <v>44</v>
      </c>
      <c r="E47" s="52"/>
      <c r="F47" s="53" t="s">
        <v>46</v>
      </c>
      <c r="G47" s="54" t="s">
        <v>46</v>
      </c>
      <c r="H47" s="56" t="s">
        <v>47</v>
      </c>
      <c r="I47" s="58" t="s">
        <v>37</v>
      </c>
      <c r="J47" s="59" t="s">
        <v>33</v>
      </c>
      <c r="L47" s="60"/>
      <c r="M47" s="61" t="s">
        <v>80</v>
      </c>
    </row>
    <row r="48" ht="12.75" customHeight="1">
      <c r="A48" s="62"/>
      <c r="B48" s="63" t="s">
        <v>5</v>
      </c>
      <c r="C48" s="135">
        <f t="shared" ref="C48:C59" si="9">J4</f>
        <v>0.203</v>
      </c>
      <c r="D48" s="133">
        <v>13.0</v>
      </c>
      <c r="E48" s="141">
        <v>0.004</v>
      </c>
      <c r="F48" s="136">
        <f t="shared" ref="F48:F59" si="10">I48+$D$17</f>
        <v>0.1715</v>
      </c>
      <c r="G48" s="70">
        <f t="shared" ref="G48:G59" si="11">I48+$D$18</f>
        <v>0.1315</v>
      </c>
      <c r="H48" s="71">
        <f t="shared" ref="H48:H61" si="12">I48+0.003</f>
        <v>0.1045</v>
      </c>
      <c r="I48" s="72">
        <f t="shared" ref="I48:I61" si="13">C48/2</f>
        <v>0.1015</v>
      </c>
      <c r="J48" s="73" t="s">
        <v>49</v>
      </c>
      <c r="L48" s="218" t="s">
        <v>79</v>
      </c>
      <c r="M48" s="61">
        <v>0.0845</v>
      </c>
    </row>
    <row r="49" ht="12.75" customHeight="1">
      <c r="A49" s="77" t="s">
        <v>69</v>
      </c>
      <c r="B49" s="7" t="s">
        <v>9</v>
      </c>
      <c r="C49" s="20">
        <f t="shared" si="9"/>
        <v>0.211</v>
      </c>
      <c r="D49" s="79">
        <v>12.0</v>
      </c>
      <c r="E49" s="141">
        <v>0.007</v>
      </c>
      <c r="F49" s="139">
        <f t="shared" si="10"/>
        <v>0.1755</v>
      </c>
      <c r="G49" s="82">
        <f t="shared" si="11"/>
        <v>0.1355</v>
      </c>
      <c r="H49" s="83">
        <f t="shared" si="12"/>
        <v>0.1085</v>
      </c>
      <c r="I49" s="85">
        <f t="shared" si="13"/>
        <v>0.1055</v>
      </c>
      <c r="J49" s="86" t="s">
        <v>51</v>
      </c>
      <c r="L49" s="218" t="s">
        <v>81</v>
      </c>
      <c r="M49" s="61">
        <v>0.0805</v>
      </c>
    </row>
    <row r="50" ht="12.75" customHeight="1">
      <c r="A50" s="62"/>
      <c r="B50" s="63" t="s">
        <v>13</v>
      </c>
      <c r="C50" s="135">
        <f t="shared" si="9"/>
        <v>0.225</v>
      </c>
      <c r="D50" s="133">
        <v>11.0</v>
      </c>
      <c r="E50" s="141">
        <v>0.0075</v>
      </c>
      <c r="F50" s="136">
        <f t="shared" si="10"/>
        <v>0.1825</v>
      </c>
      <c r="G50" s="70">
        <f t="shared" si="11"/>
        <v>0.1425</v>
      </c>
      <c r="H50" s="71">
        <f t="shared" si="12"/>
        <v>0.1155</v>
      </c>
      <c r="I50" s="72">
        <f t="shared" si="13"/>
        <v>0.1125</v>
      </c>
      <c r="J50" s="73" t="s">
        <v>52</v>
      </c>
      <c r="L50" s="218" t="s">
        <v>82</v>
      </c>
      <c r="M50" s="61">
        <v>0.0735</v>
      </c>
    </row>
    <row r="51" ht="12.75" customHeight="1">
      <c r="A51" s="48"/>
      <c r="B51" s="7" t="s">
        <v>16</v>
      </c>
      <c r="C51" s="20">
        <f t="shared" si="9"/>
        <v>0.24</v>
      </c>
      <c r="D51" s="79">
        <v>10.0</v>
      </c>
      <c r="E51" s="141">
        <v>0.007</v>
      </c>
      <c r="F51" s="139">
        <f t="shared" si="10"/>
        <v>0.19</v>
      </c>
      <c r="G51" s="82">
        <f t="shared" si="11"/>
        <v>0.15</v>
      </c>
      <c r="H51" s="83">
        <f t="shared" si="12"/>
        <v>0.123</v>
      </c>
      <c r="I51" s="85">
        <f t="shared" si="13"/>
        <v>0.12</v>
      </c>
      <c r="J51" s="86" t="s">
        <v>53</v>
      </c>
      <c r="L51" s="218" t="s">
        <v>83</v>
      </c>
      <c r="M51" s="61">
        <v>0.066</v>
      </c>
    </row>
    <row r="52" ht="12.75" customHeight="1">
      <c r="A52" s="62"/>
      <c r="B52" s="63" t="s">
        <v>17</v>
      </c>
      <c r="C52" s="135">
        <f t="shared" si="9"/>
        <v>0.254</v>
      </c>
      <c r="D52" s="133">
        <v>9.0</v>
      </c>
      <c r="E52" s="141">
        <v>0.0075</v>
      </c>
      <c r="F52" s="136">
        <f t="shared" si="10"/>
        <v>0.197</v>
      </c>
      <c r="G52" s="70">
        <f t="shared" si="11"/>
        <v>0.157</v>
      </c>
      <c r="H52" s="71">
        <f t="shared" si="12"/>
        <v>0.13</v>
      </c>
      <c r="I52" s="72">
        <f t="shared" si="13"/>
        <v>0.127</v>
      </c>
      <c r="J52" s="73" t="s">
        <v>54</v>
      </c>
      <c r="L52" s="218" t="s">
        <v>84</v>
      </c>
      <c r="M52" s="61">
        <v>0.059</v>
      </c>
    </row>
    <row r="53" ht="12.75" customHeight="1">
      <c r="A53" s="48"/>
      <c r="B53" s="7" t="s">
        <v>18</v>
      </c>
      <c r="C53" s="20">
        <f t="shared" si="9"/>
        <v>0.269</v>
      </c>
      <c r="D53" s="97">
        <v>8.0</v>
      </c>
      <c r="E53" s="164">
        <v>0.007</v>
      </c>
      <c r="F53" s="165">
        <f t="shared" si="10"/>
        <v>0.2045</v>
      </c>
      <c r="G53" s="100">
        <f t="shared" si="11"/>
        <v>0.1645</v>
      </c>
      <c r="H53" s="103">
        <f t="shared" si="12"/>
        <v>0.1375</v>
      </c>
      <c r="I53" s="104">
        <f t="shared" si="13"/>
        <v>0.1345</v>
      </c>
      <c r="J53" s="105" t="s">
        <v>55</v>
      </c>
      <c r="L53" s="218" t="s">
        <v>85</v>
      </c>
      <c r="M53" s="61">
        <v>0.0515</v>
      </c>
    </row>
    <row r="54" ht="12.75" customHeight="1">
      <c r="A54" s="62"/>
      <c r="B54" s="63" t="s">
        <v>19</v>
      </c>
      <c r="C54" s="135">
        <f t="shared" si="9"/>
        <v>0.283</v>
      </c>
      <c r="D54" s="133">
        <v>7.0</v>
      </c>
      <c r="E54" s="141">
        <v>0.0065</v>
      </c>
      <c r="F54" s="136">
        <f t="shared" si="10"/>
        <v>0.2115</v>
      </c>
      <c r="G54" s="70">
        <f t="shared" si="11"/>
        <v>0.1715</v>
      </c>
      <c r="H54" s="71">
        <f t="shared" si="12"/>
        <v>0.1445</v>
      </c>
      <c r="I54" s="72">
        <f t="shared" si="13"/>
        <v>0.1415</v>
      </c>
      <c r="J54" s="73" t="s">
        <v>56</v>
      </c>
      <c r="L54" s="218" t="s">
        <v>86</v>
      </c>
      <c r="M54" s="61">
        <v>0.0445</v>
      </c>
    </row>
    <row r="55" ht="12.75" customHeight="1">
      <c r="A55" s="48"/>
      <c r="B55" s="7" t="s">
        <v>20</v>
      </c>
      <c r="C55" s="20">
        <f t="shared" si="9"/>
        <v>0.296</v>
      </c>
      <c r="D55" s="79">
        <v>6.0</v>
      </c>
      <c r="E55" s="141">
        <v>0.0085</v>
      </c>
      <c r="F55" s="139">
        <f t="shared" si="10"/>
        <v>0.218</v>
      </c>
      <c r="G55" s="82">
        <f t="shared" si="11"/>
        <v>0.178</v>
      </c>
      <c r="H55" s="83">
        <f t="shared" si="12"/>
        <v>0.151</v>
      </c>
      <c r="I55" s="85">
        <f t="shared" si="13"/>
        <v>0.148</v>
      </c>
      <c r="J55" s="86" t="s">
        <v>57</v>
      </c>
      <c r="L55" s="218" t="s">
        <v>87</v>
      </c>
      <c r="M55" s="61">
        <v>0.038</v>
      </c>
    </row>
    <row r="56" ht="12.75" customHeight="1">
      <c r="A56" s="62"/>
      <c r="B56" s="63" t="s">
        <v>21</v>
      </c>
      <c r="C56" s="135">
        <f t="shared" si="9"/>
        <v>0.313</v>
      </c>
      <c r="D56" s="133">
        <v>5.0</v>
      </c>
      <c r="E56" s="141">
        <v>0.0075</v>
      </c>
      <c r="F56" s="136">
        <f t="shared" si="10"/>
        <v>0.2265</v>
      </c>
      <c r="G56" s="70">
        <f t="shared" si="11"/>
        <v>0.1865</v>
      </c>
      <c r="H56" s="71">
        <f t="shared" si="12"/>
        <v>0.1595</v>
      </c>
      <c r="I56" s="72">
        <f t="shared" si="13"/>
        <v>0.1565</v>
      </c>
      <c r="J56" s="73" t="s">
        <v>58</v>
      </c>
      <c r="L56" s="218" t="s">
        <v>88</v>
      </c>
      <c r="M56" s="61">
        <v>0.0295</v>
      </c>
    </row>
    <row r="57" ht="12.75" customHeight="1">
      <c r="A57" s="48"/>
      <c r="B57" s="7" t="s">
        <v>22</v>
      </c>
      <c r="C57" s="20">
        <f t="shared" si="9"/>
        <v>0.328</v>
      </c>
      <c r="D57" s="79">
        <v>4.0</v>
      </c>
      <c r="E57" s="141">
        <v>0.007</v>
      </c>
      <c r="F57" s="139">
        <f t="shared" si="10"/>
        <v>0.234</v>
      </c>
      <c r="G57" s="82">
        <f t="shared" si="11"/>
        <v>0.194</v>
      </c>
      <c r="H57" s="83">
        <f t="shared" si="12"/>
        <v>0.167</v>
      </c>
      <c r="I57" s="85">
        <f t="shared" si="13"/>
        <v>0.164</v>
      </c>
      <c r="J57" s="86" t="s">
        <v>59</v>
      </c>
      <c r="L57" s="218" t="s">
        <v>89</v>
      </c>
      <c r="M57" s="61">
        <v>0.022</v>
      </c>
    </row>
    <row r="58" ht="12.75" customHeight="1">
      <c r="A58" s="62"/>
      <c r="B58" s="63" t="s">
        <v>23</v>
      </c>
      <c r="C58" s="135">
        <f t="shared" si="9"/>
        <v>0.342</v>
      </c>
      <c r="D58" s="133">
        <v>3.0</v>
      </c>
      <c r="E58" s="141">
        <v>0.0075</v>
      </c>
      <c r="F58" s="136">
        <f t="shared" si="10"/>
        <v>0.241</v>
      </c>
      <c r="G58" s="70">
        <f t="shared" si="11"/>
        <v>0.201</v>
      </c>
      <c r="H58" s="71">
        <f t="shared" si="12"/>
        <v>0.174</v>
      </c>
      <c r="I58" s="72">
        <f t="shared" si="13"/>
        <v>0.171</v>
      </c>
      <c r="J58" s="73" t="s">
        <v>65</v>
      </c>
      <c r="L58" s="218" t="s">
        <v>91</v>
      </c>
      <c r="M58" s="61">
        <v>0.015</v>
      </c>
    </row>
    <row r="59" ht="12.75" customHeight="1">
      <c r="A59" s="48"/>
      <c r="B59" s="7" t="s">
        <v>24</v>
      </c>
      <c r="C59" s="20">
        <f t="shared" si="9"/>
        <v>0.357</v>
      </c>
      <c r="D59" s="79">
        <v>2.0</v>
      </c>
      <c r="E59" s="141">
        <v>0.0075</v>
      </c>
      <c r="F59" s="139">
        <f t="shared" si="10"/>
        <v>0.2485</v>
      </c>
      <c r="G59" s="82">
        <f t="shared" si="11"/>
        <v>0.2085</v>
      </c>
      <c r="H59" s="83">
        <f t="shared" si="12"/>
        <v>0.1815</v>
      </c>
      <c r="I59" s="85">
        <f t="shared" si="13"/>
        <v>0.1785</v>
      </c>
      <c r="J59" s="86" t="s">
        <v>66</v>
      </c>
      <c r="L59" s="218" t="s">
        <v>92</v>
      </c>
      <c r="M59" s="61">
        <v>0.0075</v>
      </c>
    </row>
    <row r="60" ht="12.75" customHeight="1">
      <c r="A60" s="62"/>
      <c r="B60" s="63"/>
      <c r="C60" s="154">
        <f>J15</f>
        <v>0.357</v>
      </c>
      <c r="D60" s="133">
        <v>1.0</v>
      </c>
      <c r="E60" s="134">
        <f>(I61-I60)+E61</f>
        <v>0</v>
      </c>
      <c r="F60" s="136">
        <f>F61</f>
        <v>0.2485</v>
      </c>
      <c r="G60" s="70">
        <f t="shared" ref="G60:G61" si="14">G59</f>
        <v>0.2085</v>
      </c>
      <c r="H60" s="71">
        <f t="shared" si="12"/>
        <v>0.1815</v>
      </c>
      <c r="I60" s="72">
        <f t="shared" si="13"/>
        <v>0.1785</v>
      </c>
      <c r="J60" s="73" t="s">
        <v>67</v>
      </c>
      <c r="L60" s="218" t="s">
        <v>93</v>
      </c>
      <c r="M60" s="61">
        <v>0.0</v>
      </c>
    </row>
    <row r="61" ht="13.5" customHeight="1">
      <c r="A61" s="112"/>
      <c r="B61" s="142"/>
      <c r="C61" s="143">
        <f>J15</f>
        <v>0.357</v>
      </c>
      <c r="D61" s="115">
        <v>0.0</v>
      </c>
      <c r="E61" s="144">
        <v>0.0</v>
      </c>
      <c r="F61" s="145">
        <f>F59</f>
        <v>0.2485</v>
      </c>
      <c r="G61" s="119">
        <f t="shared" si="14"/>
        <v>0.2085</v>
      </c>
      <c r="H61" s="121">
        <f t="shared" si="12"/>
        <v>0.1815</v>
      </c>
      <c r="I61" s="146">
        <f t="shared" si="13"/>
        <v>0.1785</v>
      </c>
      <c r="J61" s="123" t="s">
        <v>70</v>
      </c>
      <c r="L61" s="228" t="s">
        <v>94</v>
      </c>
      <c r="M61" s="184">
        <v>0.0</v>
      </c>
    </row>
    <row r="62" ht="12.75" customHeight="1">
      <c r="A62" s="95"/>
      <c r="B62" s="88"/>
      <c r="C62" s="126"/>
      <c r="D62" s="148"/>
      <c r="E62" s="149"/>
      <c r="F62" s="79"/>
      <c r="G62" s="150"/>
      <c r="H62" s="95"/>
      <c r="I62" s="152"/>
      <c r="J62" s="91"/>
    </row>
    <row r="63" ht="12.75" customHeight="1">
      <c r="A63" s="95"/>
      <c r="B63" s="88"/>
      <c r="C63" s="126"/>
      <c r="D63" s="148"/>
      <c r="E63" s="149"/>
      <c r="F63" s="79"/>
      <c r="G63" s="150"/>
      <c r="H63" s="126"/>
      <c r="I63" s="152"/>
      <c r="J63" s="91"/>
    </row>
    <row r="64" ht="12.75" customHeight="1">
      <c r="A64" s="49"/>
      <c r="B64" s="7"/>
      <c r="C64" s="126"/>
      <c r="D64" s="148"/>
      <c r="E64" s="149"/>
      <c r="F64" s="79"/>
      <c r="G64" s="150"/>
      <c r="H64" s="126"/>
      <c r="I64" s="152"/>
      <c r="J64" s="91"/>
    </row>
    <row r="65" ht="12.75" customHeight="1">
      <c r="A65" s="49"/>
      <c r="B65" s="7"/>
      <c r="C65" s="126"/>
      <c r="D65" s="148"/>
      <c r="E65" s="149"/>
      <c r="F65" s="79"/>
      <c r="G65" s="150"/>
      <c r="H65" s="126"/>
      <c r="I65" s="152"/>
      <c r="J65" s="91"/>
      <c r="M65" s="49"/>
      <c r="T65" s="156"/>
    </row>
    <row r="66" ht="12.75" customHeight="1">
      <c r="A66" s="5"/>
      <c r="B66" s="156"/>
      <c r="D66" s="49"/>
      <c r="E66" s="49"/>
      <c r="F66" s="49"/>
      <c r="G66" s="49"/>
      <c r="J66" s="157"/>
      <c r="M66" s="49"/>
      <c r="T66" s="157"/>
    </row>
    <row r="67" ht="12.75" customHeight="1">
      <c r="A67" s="5"/>
      <c r="B67" s="158"/>
      <c r="M67" s="49"/>
      <c r="T67" s="157"/>
    </row>
    <row r="68" ht="12.75" customHeight="1">
      <c r="A68" s="5"/>
      <c r="B68" s="159"/>
      <c r="D68" s="49"/>
      <c r="E68" s="49"/>
      <c r="F68" s="49"/>
      <c r="G68" s="49"/>
      <c r="K68" s="156"/>
      <c r="M68" s="49"/>
      <c r="T68" s="157"/>
    </row>
    <row r="69" ht="12.75" customHeight="1">
      <c r="A69" s="5"/>
      <c r="B69" s="157"/>
      <c r="D69" s="49"/>
      <c r="E69" s="49"/>
      <c r="F69" s="49"/>
      <c r="G69" s="49"/>
      <c r="K69" s="156"/>
    </row>
    <row r="70" ht="12.75" customHeight="1">
      <c r="A70" s="5"/>
      <c r="B70" s="160"/>
      <c r="M70" s="91"/>
      <c r="N70" s="5"/>
      <c r="O70" s="5"/>
      <c r="P70" s="5"/>
      <c r="Q70" s="5"/>
      <c r="R70" s="91"/>
      <c r="S70" s="46"/>
    </row>
    <row r="71" ht="12.75" customHeight="1">
      <c r="A71" s="91"/>
      <c r="B71" s="7"/>
      <c r="C71" s="46"/>
      <c r="D71" s="46"/>
      <c r="E71" s="46"/>
      <c r="F71" s="46"/>
      <c r="G71" s="46"/>
      <c r="H71" s="91"/>
      <c r="I71" s="91"/>
      <c r="J71" s="91"/>
      <c r="K71" s="91"/>
      <c r="M71" s="91"/>
      <c r="N71" s="49"/>
      <c r="O71" s="49"/>
      <c r="P71" s="49"/>
      <c r="Q71" s="49"/>
      <c r="R71" s="46"/>
      <c r="T71" s="46"/>
      <c r="U71" s="7"/>
    </row>
    <row r="72" ht="12.75" customHeight="1">
      <c r="A72" s="7"/>
      <c r="B72" s="128"/>
      <c r="D72" s="7"/>
      <c r="E72" s="7"/>
      <c r="F72" s="7"/>
      <c r="G72" s="7"/>
      <c r="H72" s="7"/>
      <c r="I72" s="7"/>
      <c r="J72" s="7"/>
      <c r="K72" s="7"/>
      <c r="M72" s="7"/>
      <c r="R72" s="7"/>
      <c r="S72" s="7"/>
      <c r="T72" s="7"/>
      <c r="U72" s="7"/>
    </row>
    <row r="73" ht="12.75" customHeight="1">
      <c r="A73" s="7"/>
      <c r="B73" s="10"/>
      <c r="C73" s="76"/>
      <c r="D73" s="162"/>
      <c r="E73" s="162"/>
      <c r="F73" s="162"/>
      <c r="G73" s="162"/>
      <c r="H73" s="162"/>
      <c r="I73" s="162"/>
      <c r="J73" s="91"/>
      <c r="K73" s="91"/>
      <c r="M73" s="7"/>
      <c r="N73" s="10"/>
      <c r="O73" s="10"/>
      <c r="P73" s="10"/>
      <c r="Q73" s="10"/>
      <c r="R73" s="162"/>
      <c r="S73" s="162"/>
      <c r="T73" s="162"/>
      <c r="U73" s="91"/>
    </row>
    <row r="74" ht="12.75" customHeight="1">
      <c r="A74" s="7"/>
      <c r="B74" s="10"/>
      <c r="C74" s="76"/>
      <c r="D74" s="162"/>
      <c r="E74" s="162"/>
      <c r="F74" s="162"/>
      <c r="G74" s="162"/>
      <c r="H74" s="162"/>
      <c r="I74" s="162"/>
      <c r="J74" s="91"/>
      <c r="K74" s="88"/>
      <c r="M74" s="7"/>
      <c r="N74" s="10"/>
      <c r="O74" s="10"/>
      <c r="P74" s="10"/>
      <c r="Q74" s="10"/>
      <c r="R74" s="162"/>
      <c r="S74" s="162"/>
      <c r="T74" s="162"/>
      <c r="U74" s="91"/>
      <c r="V74" s="88"/>
    </row>
    <row r="75" ht="12.75" customHeight="1">
      <c r="A75" s="7"/>
      <c r="B75" s="10"/>
      <c r="C75" s="76"/>
      <c r="D75" s="162"/>
      <c r="E75" s="162"/>
      <c r="F75" s="162"/>
      <c r="G75" s="162"/>
      <c r="H75" s="162"/>
      <c r="I75" s="162"/>
      <c r="J75" s="91"/>
      <c r="K75" s="91"/>
      <c r="M75" s="7"/>
      <c r="N75" s="10"/>
      <c r="O75" s="10"/>
      <c r="P75" s="10"/>
      <c r="Q75" s="10"/>
      <c r="R75" s="162"/>
      <c r="S75" s="162"/>
      <c r="T75" s="162"/>
      <c r="U75" s="91"/>
      <c r="V75" s="91"/>
    </row>
    <row r="76" ht="12.75" customHeight="1">
      <c r="A76" s="7"/>
      <c r="B76" s="10"/>
      <c r="C76" s="76"/>
      <c r="D76" s="162"/>
      <c r="E76" s="162"/>
      <c r="F76" s="162"/>
      <c r="G76" s="162"/>
      <c r="H76" s="162"/>
      <c r="I76" s="162"/>
      <c r="J76" s="91"/>
      <c r="K76" s="91"/>
      <c r="M76" s="7"/>
      <c r="N76" s="10"/>
      <c r="O76" s="10"/>
      <c r="P76" s="10"/>
      <c r="Q76" s="10"/>
      <c r="R76" s="162"/>
      <c r="S76" s="162"/>
      <c r="T76" s="162"/>
      <c r="U76" s="91"/>
      <c r="V76" s="91"/>
    </row>
    <row r="77" ht="12.75" customHeight="1">
      <c r="A77" s="7"/>
      <c r="B77" s="10"/>
      <c r="C77" s="76"/>
      <c r="D77" s="162"/>
      <c r="E77" s="162"/>
      <c r="F77" s="162"/>
      <c r="G77" s="162"/>
      <c r="H77" s="162"/>
      <c r="I77" s="162"/>
      <c r="J77" s="91"/>
      <c r="K77" s="88"/>
      <c r="M77" s="7"/>
      <c r="N77" s="10"/>
      <c r="O77" s="10"/>
      <c r="P77" s="10"/>
      <c r="Q77" s="10"/>
      <c r="R77" s="162"/>
      <c r="S77" s="162"/>
      <c r="T77" s="162"/>
      <c r="U77" s="91"/>
      <c r="V77" s="88"/>
    </row>
    <row r="78" ht="12.75" customHeight="1">
      <c r="A78" s="7"/>
      <c r="B78" s="10"/>
      <c r="C78" s="76"/>
      <c r="D78" s="162"/>
      <c r="E78" s="162"/>
      <c r="F78" s="162"/>
      <c r="G78" s="162"/>
      <c r="H78" s="162"/>
      <c r="I78" s="162"/>
      <c r="J78" s="91"/>
      <c r="K78" s="91"/>
      <c r="M78" s="7"/>
      <c r="N78" s="10"/>
      <c r="O78" s="10"/>
      <c r="P78" s="10"/>
      <c r="Q78" s="10"/>
      <c r="R78" s="162"/>
      <c r="S78" s="162"/>
      <c r="T78" s="162"/>
      <c r="U78" s="91"/>
      <c r="V78" s="91"/>
    </row>
    <row r="79" ht="12.75" customHeight="1">
      <c r="A79" s="7"/>
      <c r="B79" s="10"/>
      <c r="C79" s="76"/>
      <c r="D79" s="162"/>
      <c r="E79" s="162"/>
      <c r="F79" s="162"/>
      <c r="G79" s="162"/>
      <c r="H79" s="162"/>
      <c r="I79" s="162"/>
      <c r="J79" s="91"/>
      <c r="K79" s="91"/>
      <c r="M79" s="7"/>
      <c r="N79" s="10"/>
      <c r="O79" s="10"/>
      <c r="P79" s="10"/>
      <c r="Q79" s="10"/>
      <c r="R79" s="162"/>
      <c r="S79" s="162"/>
      <c r="T79" s="162"/>
      <c r="U79" s="91"/>
      <c r="V79" s="91"/>
    </row>
    <row r="80" ht="12.75" customHeight="1">
      <c r="A80" s="7"/>
      <c r="B80" s="10"/>
      <c r="C80" s="76"/>
      <c r="D80" s="162"/>
      <c r="E80" s="162"/>
      <c r="F80" s="162"/>
      <c r="G80" s="162"/>
      <c r="H80" s="162"/>
      <c r="I80" s="162"/>
      <c r="J80" s="91"/>
      <c r="K80" s="88"/>
      <c r="M80" s="7"/>
      <c r="N80" s="10"/>
      <c r="O80" s="10"/>
      <c r="P80" s="10"/>
      <c r="Q80" s="10"/>
      <c r="R80" s="162"/>
      <c r="S80" s="162"/>
      <c r="T80" s="162"/>
      <c r="U80" s="91"/>
      <c r="V80" s="88"/>
    </row>
    <row r="81" ht="12.75" customHeight="1">
      <c r="A81" s="7"/>
      <c r="B81" s="10"/>
      <c r="C81" s="76"/>
      <c r="D81" s="162"/>
      <c r="E81" s="162"/>
      <c r="F81" s="162"/>
      <c r="G81" s="162"/>
      <c r="H81" s="162"/>
      <c r="I81" s="162"/>
      <c r="J81" s="91"/>
      <c r="K81" s="91"/>
      <c r="M81" s="7"/>
      <c r="N81" s="10"/>
      <c r="O81" s="10"/>
      <c r="P81" s="10"/>
      <c r="Q81" s="10"/>
      <c r="R81" s="162"/>
      <c r="S81" s="162"/>
      <c r="T81" s="162"/>
      <c r="U81" s="91"/>
      <c r="V81" s="91"/>
    </row>
    <row r="82" ht="12.75" customHeight="1">
      <c r="A82" s="7"/>
      <c r="B82" s="10"/>
      <c r="C82" s="10"/>
      <c r="D82" s="162"/>
      <c r="E82" s="162"/>
      <c r="F82" s="162"/>
      <c r="G82" s="162"/>
      <c r="H82" s="162"/>
      <c r="I82" s="162"/>
      <c r="J82" s="91"/>
      <c r="M82" s="7"/>
      <c r="N82" s="10"/>
      <c r="O82" s="10"/>
      <c r="P82" s="10"/>
      <c r="Q82" s="10"/>
      <c r="R82" s="162"/>
      <c r="S82" s="162"/>
      <c r="T82" s="162"/>
      <c r="U82" s="91"/>
    </row>
    <row r="83" ht="12.75" customHeight="1">
      <c r="A83" s="7"/>
      <c r="B83" s="10"/>
      <c r="C83" s="10"/>
      <c r="D83" s="162"/>
      <c r="E83" s="162"/>
      <c r="F83" s="162"/>
      <c r="G83" s="162"/>
      <c r="H83" s="162"/>
      <c r="I83" s="162"/>
      <c r="J83" s="91"/>
      <c r="K83" s="88"/>
      <c r="M83" s="7"/>
      <c r="N83" s="10"/>
      <c r="O83" s="10"/>
      <c r="P83" s="10"/>
      <c r="Q83" s="10"/>
      <c r="R83" s="162"/>
      <c r="S83" s="162"/>
      <c r="T83" s="162"/>
      <c r="U83" s="91"/>
      <c r="V83" s="91"/>
    </row>
    <row r="84" ht="12.75" customHeight="1">
      <c r="A84" s="7"/>
      <c r="C84" s="10"/>
      <c r="D84" s="162"/>
      <c r="E84" s="162"/>
      <c r="F84" s="162"/>
      <c r="G84" s="162"/>
      <c r="K84" s="91"/>
      <c r="M84" s="7"/>
      <c r="N84" s="10"/>
      <c r="O84" s="10"/>
      <c r="P84" s="10"/>
      <c r="Q84" s="10"/>
      <c r="R84" s="162"/>
      <c r="S84" s="162"/>
      <c r="T84" s="162"/>
      <c r="U84" s="91"/>
      <c r="V84" s="88"/>
    </row>
    <row r="85" ht="12.75" customHeight="1">
      <c r="A85" s="7"/>
      <c r="C85" s="10"/>
      <c r="D85" s="162"/>
      <c r="E85" s="162"/>
      <c r="F85" s="162"/>
      <c r="G85" s="162"/>
      <c r="J85" s="7"/>
      <c r="K85" s="7"/>
      <c r="M85" s="7"/>
      <c r="N85" s="76"/>
      <c r="O85" s="76"/>
      <c r="P85" s="76"/>
      <c r="Q85" s="76"/>
      <c r="R85" s="162"/>
      <c r="S85" s="162"/>
      <c r="T85" s="162"/>
      <c r="U85" s="7"/>
      <c r="V85" s="7"/>
    </row>
    <row r="86" ht="12.75" customHeight="1">
      <c r="A86" s="7"/>
      <c r="C86" s="10"/>
      <c r="D86" s="162"/>
      <c r="E86" s="162"/>
      <c r="F86" s="162"/>
      <c r="G86" s="162"/>
      <c r="J86" s="7"/>
      <c r="K86" s="7"/>
    </row>
    <row r="87" ht="12.75" customHeight="1">
      <c r="A87" s="7"/>
      <c r="C87" s="10"/>
      <c r="D87" s="162"/>
      <c r="E87" s="162"/>
      <c r="F87" s="162"/>
      <c r="G87" s="162"/>
    </row>
    <row r="88" ht="12.75" customHeight="1">
      <c r="A88" s="7"/>
      <c r="B88" s="10"/>
      <c r="C88" s="76"/>
      <c r="D88" s="162"/>
      <c r="E88" s="162"/>
      <c r="F88" s="162"/>
      <c r="G88" s="162"/>
      <c r="H88" s="162"/>
      <c r="I88" s="162"/>
    </row>
    <row r="89" ht="12.75" customHeight="1">
      <c r="A89" s="7"/>
      <c r="B89" s="128"/>
      <c r="C89" s="76"/>
      <c r="D89" s="162"/>
      <c r="E89" s="162"/>
      <c r="F89" s="162"/>
      <c r="G89" s="162"/>
      <c r="H89" s="162"/>
      <c r="I89" s="162"/>
    </row>
    <row r="90" ht="12.75" customHeight="1">
      <c r="A90" s="7"/>
      <c r="B90" s="128"/>
      <c r="C90" s="76"/>
      <c r="D90" s="162"/>
      <c r="E90" s="162"/>
      <c r="F90" s="162"/>
      <c r="G90" s="162"/>
      <c r="H90" s="162"/>
      <c r="I90" s="162"/>
    </row>
    <row r="91" ht="12.75" customHeight="1">
      <c r="A91" s="7"/>
      <c r="B91" s="128"/>
      <c r="C91" s="76"/>
      <c r="D91" s="162"/>
      <c r="E91" s="162"/>
      <c r="F91" s="162"/>
      <c r="G91" s="162"/>
      <c r="H91" s="162"/>
      <c r="I91" s="162"/>
    </row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4">
    <mergeCell ref="A17:C17"/>
    <mergeCell ref="A18:C18"/>
    <mergeCell ref="G18:I18"/>
    <mergeCell ref="G44:I44"/>
  </mergeCells>
  <printOptions gridLines="1"/>
  <pageMargins bottom="0.75" footer="0.0" header="0.0" left="0.7" right="0.7" top="0.75"/>
  <pageSetup scale="90" orientation="landscape"/>
  <drawing r:id="rId1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8.5"/>
    <col customWidth="1" min="3" max="3" width="10.25"/>
    <col customWidth="1" min="4" max="4" width="7.0"/>
    <col customWidth="1" min="5" max="5" width="8.13"/>
    <col customWidth="1" min="6" max="6" width="8.88"/>
    <col customWidth="1" min="7" max="7" width="7.25"/>
    <col customWidth="1" min="8" max="8" width="7.0"/>
    <col customWidth="1" min="9" max="9" width="7.88"/>
    <col customWidth="1" min="10" max="10" width="8.0"/>
    <col customWidth="1" min="11" max="11" width="8.13"/>
    <col customWidth="1" min="12" max="12" width="7.0"/>
    <col customWidth="1" min="13" max="13" width="11.25"/>
    <col customWidth="1" min="14" max="26" width="7.0"/>
  </cols>
  <sheetData>
    <row r="1">
      <c r="A1" s="1"/>
      <c r="G1" s="2" t="s">
        <v>0</v>
      </c>
      <c r="I1" s="3"/>
    </row>
    <row r="2" ht="12.75" customHeight="1">
      <c r="A2" t="s">
        <v>1</v>
      </c>
    </row>
    <row r="3" ht="12.75" customHeight="1">
      <c r="G3" s="4" t="s">
        <v>2</v>
      </c>
      <c r="H3" s="4"/>
      <c r="I3" s="4"/>
      <c r="J3" s="4" t="s">
        <v>3</v>
      </c>
    </row>
    <row r="4" ht="12.75" customHeight="1">
      <c r="A4" s="5" t="s">
        <v>4</v>
      </c>
      <c r="B4" s="6" t="s">
        <v>114</v>
      </c>
      <c r="G4" s="7" t="s">
        <v>5</v>
      </c>
      <c r="H4" s="8">
        <v>0.064</v>
      </c>
      <c r="I4" t="s">
        <v>6</v>
      </c>
      <c r="J4" s="9">
        <v>0.213</v>
      </c>
      <c r="K4" t="s">
        <v>6</v>
      </c>
      <c r="R4" s="10"/>
    </row>
    <row r="5" ht="12.75" customHeight="1">
      <c r="A5" s="5" t="s">
        <v>8</v>
      </c>
      <c r="B5" s="6" t="s">
        <v>115</v>
      </c>
      <c r="G5" s="7" t="s">
        <v>9</v>
      </c>
      <c r="H5" s="8">
        <v>0.072</v>
      </c>
      <c r="J5" s="9">
        <v>0.228</v>
      </c>
      <c r="R5" s="10"/>
    </row>
    <row r="6" ht="12.75" customHeight="1">
      <c r="A6" s="5" t="s">
        <v>10</v>
      </c>
      <c r="B6" s="12" t="s">
        <v>116</v>
      </c>
      <c r="G6" s="7" t="s">
        <v>13</v>
      </c>
      <c r="H6" s="8">
        <v>0.088</v>
      </c>
      <c r="J6" s="9">
        <v>0.241</v>
      </c>
      <c r="R6" s="10"/>
    </row>
    <row r="7" ht="12.75" customHeight="1">
      <c r="A7" s="5" t="s">
        <v>14</v>
      </c>
      <c r="B7" s="13">
        <v>0.226</v>
      </c>
      <c r="G7" s="7" t="s">
        <v>16</v>
      </c>
      <c r="H7" s="8">
        <v>0.106</v>
      </c>
      <c r="J7" s="9">
        <v>0.256</v>
      </c>
      <c r="R7" s="10"/>
    </row>
    <row r="8" ht="12.75" customHeight="1">
      <c r="G8" s="7" t="s">
        <v>17</v>
      </c>
      <c r="H8" s="8">
        <v>0.123</v>
      </c>
      <c r="J8" s="9">
        <v>0.27</v>
      </c>
      <c r="R8" s="10"/>
    </row>
    <row r="9" ht="12.75" customHeight="1">
      <c r="G9" s="7" t="s">
        <v>18</v>
      </c>
      <c r="H9" s="8">
        <v>0.138</v>
      </c>
      <c r="J9" s="9">
        <v>0.285</v>
      </c>
      <c r="R9" s="10"/>
    </row>
    <row r="10" ht="12.75" customHeight="1">
      <c r="G10" s="7" t="s">
        <v>19</v>
      </c>
      <c r="H10" s="8">
        <v>0.153</v>
      </c>
      <c r="J10" s="9">
        <v>0.301</v>
      </c>
      <c r="R10" s="10"/>
    </row>
    <row r="11" ht="12.75" customHeight="1">
      <c r="G11" s="7" t="s">
        <v>20</v>
      </c>
      <c r="H11" s="8">
        <v>0.168</v>
      </c>
      <c r="J11" s="9">
        <v>0.314</v>
      </c>
      <c r="R11" s="10"/>
    </row>
    <row r="12" ht="12.75" customHeight="1">
      <c r="G12" s="7" t="s">
        <v>21</v>
      </c>
      <c r="H12" s="8">
        <v>0.183</v>
      </c>
      <c r="J12" s="9">
        <v>0.331</v>
      </c>
      <c r="R12" s="10"/>
    </row>
    <row r="13" ht="12.75" customHeight="1">
      <c r="G13" s="7" t="s">
        <v>22</v>
      </c>
      <c r="H13" s="8">
        <v>0.198</v>
      </c>
      <c r="J13" s="9">
        <v>0.346</v>
      </c>
      <c r="R13" s="10"/>
    </row>
    <row r="14" ht="12.75" customHeight="1">
      <c r="G14" s="7" t="s">
        <v>23</v>
      </c>
      <c r="H14" s="8">
        <v>0.213</v>
      </c>
      <c r="J14" s="9">
        <v>0.361</v>
      </c>
      <c r="R14" s="10"/>
    </row>
    <row r="15" ht="12.75" customHeight="1">
      <c r="G15" s="7" t="s">
        <v>24</v>
      </c>
      <c r="H15" s="8">
        <v>0.228</v>
      </c>
      <c r="I15" t="s">
        <v>6</v>
      </c>
      <c r="J15" s="9">
        <v>0.375</v>
      </c>
      <c r="K15" t="s">
        <v>6</v>
      </c>
      <c r="R15" s="10"/>
    </row>
    <row r="16" ht="12.75" customHeight="1">
      <c r="G16" s="17" t="s">
        <v>25</v>
      </c>
      <c r="H16" s="18">
        <f>H15</f>
        <v>0.228</v>
      </c>
      <c r="I16" s="19"/>
      <c r="J16" s="18">
        <f>J15</f>
        <v>0.375</v>
      </c>
      <c r="K16" s="18"/>
      <c r="M16" s="20"/>
      <c r="R16" s="10"/>
    </row>
    <row r="17" ht="13.5" customHeight="1">
      <c r="A17" s="4" t="s">
        <v>26</v>
      </c>
      <c r="D17" s="21">
        <v>0.07</v>
      </c>
      <c r="G17" s="17" t="s">
        <v>68</v>
      </c>
      <c r="H17" s="18">
        <f>H15</f>
        <v>0.228</v>
      </c>
      <c r="I17" s="19"/>
      <c r="J17" s="17">
        <v>0.294</v>
      </c>
      <c r="K17" s="18"/>
      <c r="M17" s="20"/>
      <c r="R17" s="10"/>
    </row>
    <row r="18" ht="13.5" customHeight="1">
      <c r="A18" s="4" t="s">
        <v>28</v>
      </c>
      <c r="D18" s="25">
        <v>0.03</v>
      </c>
      <c r="G18" s="168" t="s">
        <v>29</v>
      </c>
      <c r="H18" s="153"/>
      <c r="I18" s="155"/>
      <c r="J18" s="7"/>
      <c r="K18" s="26"/>
      <c r="M18" s="20"/>
      <c r="R18" s="10"/>
    </row>
    <row r="19">
      <c r="D19" s="32"/>
      <c r="G19" s="32"/>
      <c r="J19" s="7"/>
      <c r="L19" s="35" t="s">
        <v>30</v>
      </c>
    </row>
    <row r="20" ht="12.75" customHeight="1">
      <c r="A20" s="33"/>
      <c r="B20" s="34"/>
      <c r="C20" s="36" t="s">
        <v>31</v>
      </c>
      <c r="D20" s="36" t="s">
        <v>33</v>
      </c>
      <c r="E20" s="37" t="s">
        <v>35</v>
      </c>
      <c r="F20" s="45" t="s">
        <v>41</v>
      </c>
      <c r="G20" s="47" t="s">
        <v>42</v>
      </c>
      <c r="H20" s="40" t="s">
        <v>38</v>
      </c>
      <c r="I20" s="41" t="s">
        <v>39</v>
      </c>
      <c r="J20" s="42"/>
      <c r="L20" s="43" t="s">
        <v>33</v>
      </c>
      <c r="M20" s="44" t="s">
        <v>40</v>
      </c>
      <c r="O20" s="46"/>
    </row>
    <row r="21" ht="12.75" customHeight="1">
      <c r="A21" s="48"/>
      <c r="B21" s="7" t="s">
        <v>2</v>
      </c>
      <c r="C21" s="49" t="s">
        <v>43</v>
      </c>
      <c r="D21" s="7" t="s">
        <v>44</v>
      </c>
      <c r="E21" s="52"/>
      <c r="F21" s="53" t="s">
        <v>46</v>
      </c>
      <c r="G21" s="54" t="s">
        <v>46</v>
      </c>
      <c r="H21" s="56" t="s">
        <v>47</v>
      </c>
      <c r="I21" s="58" t="s">
        <v>37</v>
      </c>
      <c r="J21" s="59" t="s">
        <v>33</v>
      </c>
      <c r="L21" s="60"/>
      <c r="M21" s="61" t="s">
        <v>80</v>
      </c>
      <c r="O21" s="7"/>
      <c r="W21" s="20"/>
    </row>
    <row r="22" ht="13.5" customHeight="1">
      <c r="A22" s="62"/>
      <c r="B22" s="63" t="s">
        <v>5</v>
      </c>
      <c r="C22" s="65">
        <f t="shared" ref="C22:C32" si="1">H4</f>
        <v>0.064</v>
      </c>
      <c r="D22" s="66">
        <v>13.0</v>
      </c>
      <c r="E22" s="174">
        <v>0.004</v>
      </c>
      <c r="F22" s="68">
        <f t="shared" ref="F22:F32" si="2">I22+$D$17</f>
        <v>0.102</v>
      </c>
      <c r="G22" s="70">
        <f t="shared" ref="G22:G32" si="3">I22+$D$18</f>
        <v>0.062</v>
      </c>
      <c r="H22" s="71">
        <f t="shared" ref="H22:H32" si="4">I22+0.003</f>
        <v>0.035</v>
      </c>
      <c r="I22" s="72">
        <f t="shared" ref="I22:I32" si="5">C22/2</f>
        <v>0.032</v>
      </c>
      <c r="J22" s="73" t="s">
        <v>49</v>
      </c>
      <c r="L22" s="74" t="s">
        <v>49</v>
      </c>
      <c r="M22" s="75">
        <v>0.08200000000000002</v>
      </c>
      <c r="O22" s="76"/>
      <c r="W22" s="20"/>
    </row>
    <row r="23" ht="13.5" customHeight="1">
      <c r="A23" s="77" t="s">
        <v>50</v>
      </c>
      <c r="B23" s="7" t="s">
        <v>9</v>
      </c>
      <c r="C23" s="76">
        <f t="shared" si="1"/>
        <v>0.072</v>
      </c>
      <c r="D23" s="79">
        <v>12.0</v>
      </c>
      <c r="E23" s="93">
        <v>0.008</v>
      </c>
      <c r="F23" s="81">
        <f t="shared" si="2"/>
        <v>0.106</v>
      </c>
      <c r="G23" s="82">
        <f t="shared" si="3"/>
        <v>0.066</v>
      </c>
      <c r="H23" s="83">
        <f t="shared" si="4"/>
        <v>0.039</v>
      </c>
      <c r="I23" s="85">
        <f t="shared" si="5"/>
        <v>0.036</v>
      </c>
      <c r="J23" s="86" t="s">
        <v>51</v>
      </c>
      <c r="L23" s="87" t="s">
        <v>51</v>
      </c>
      <c r="M23" s="75">
        <v>0.07800000000000001</v>
      </c>
      <c r="O23" s="76"/>
      <c r="U23" s="88"/>
      <c r="W23" s="4"/>
    </row>
    <row r="24" ht="13.5" customHeight="1">
      <c r="A24" s="62"/>
      <c r="B24" s="63" t="s">
        <v>13</v>
      </c>
      <c r="C24" s="65">
        <f t="shared" si="1"/>
        <v>0.088</v>
      </c>
      <c r="D24" s="66">
        <v>11.0</v>
      </c>
      <c r="E24" s="92">
        <v>0.009</v>
      </c>
      <c r="F24" s="68">
        <f t="shared" si="2"/>
        <v>0.114</v>
      </c>
      <c r="G24" s="70">
        <f t="shared" si="3"/>
        <v>0.074</v>
      </c>
      <c r="H24" s="71">
        <f t="shared" si="4"/>
        <v>0.047</v>
      </c>
      <c r="I24" s="72">
        <f t="shared" si="5"/>
        <v>0.044</v>
      </c>
      <c r="J24" s="73" t="s">
        <v>52</v>
      </c>
      <c r="L24" s="74" t="s">
        <v>52</v>
      </c>
      <c r="M24" s="75">
        <v>0.07</v>
      </c>
      <c r="O24" s="76"/>
      <c r="U24" s="91"/>
      <c r="W24" s="4"/>
    </row>
    <row r="25" ht="13.5" customHeight="1">
      <c r="A25" s="48"/>
      <c r="B25" s="7" t="s">
        <v>16</v>
      </c>
      <c r="C25" s="76">
        <f t="shared" si="1"/>
        <v>0.106</v>
      </c>
      <c r="D25" s="79">
        <v>10.0</v>
      </c>
      <c r="E25" s="93">
        <v>0.0085</v>
      </c>
      <c r="F25" s="81">
        <f t="shared" si="2"/>
        <v>0.123</v>
      </c>
      <c r="G25" s="82">
        <f t="shared" si="3"/>
        <v>0.083</v>
      </c>
      <c r="H25" s="83">
        <f t="shared" si="4"/>
        <v>0.056</v>
      </c>
      <c r="I25" s="85">
        <f t="shared" si="5"/>
        <v>0.053</v>
      </c>
      <c r="J25" s="86" t="s">
        <v>53</v>
      </c>
      <c r="L25" s="87" t="s">
        <v>53</v>
      </c>
      <c r="M25" s="75">
        <v>0.061000000000000006</v>
      </c>
      <c r="O25" s="76"/>
      <c r="U25" s="91"/>
      <c r="W25" s="20"/>
    </row>
    <row r="26" ht="13.5" customHeight="1">
      <c r="A26" s="62"/>
      <c r="B26" s="63" t="s">
        <v>17</v>
      </c>
      <c r="C26" s="65">
        <f t="shared" si="1"/>
        <v>0.123</v>
      </c>
      <c r="D26" s="66">
        <v>9.0</v>
      </c>
      <c r="E26" s="92">
        <v>0.0075</v>
      </c>
      <c r="F26" s="68">
        <f t="shared" si="2"/>
        <v>0.1315</v>
      </c>
      <c r="G26" s="70">
        <f t="shared" si="3"/>
        <v>0.0915</v>
      </c>
      <c r="H26" s="71">
        <f t="shared" si="4"/>
        <v>0.0645</v>
      </c>
      <c r="I26" s="72">
        <f t="shared" si="5"/>
        <v>0.0615</v>
      </c>
      <c r="J26" s="73" t="s">
        <v>54</v>
      </c>
      <c r="L26" s="74" t="s">
        <v>54</v>
      </c>
      <c r="M26" s="75">
        <v>0.052500000000000005</v>
      </c>
      <c r="O26" s="76"/>
      <c r="U26" s="88"/>
    </row>
    <row r="27" ht="13.5" customHeight="1">
      <c r="A27" s="48"/>
      <c r="B27" s="7" t="s">
        <v>18</v>
      </c>
      <c r="C27" s="76">
        <f t="shared" si="1"/>
        <v>0.138</v>
      </c>
      <c r="D27" s="97">
        <v>8.0</v>
      </c>
      <c r="E27" s="98">
        <v>0.0075</v>
      </c>
      <c r="F27" s="99">
        <f t="shared" si="2"/>
        <v>0.139</v>
      </c>
      <c r="G27" s="100">
        <f t="shared" si="3"/>
        <v>0.099</v>
      </c>
      <c r="H27" s="103">
        <f t="shared" si="4"/>
        <v>0.072</v>
      </c>
      <c r="I27" s="104">
        <f t="shared" si="5"/>
        <v>0.069</v>
      </c>
      <c r="J27" s="105" t="s">
        <v>55</v>
      </c>
      <c r="L27" s="87" t="s">
        <v>55</v>
      </c>
      <c r="M27" s="75">
        <v>0.045</v>
      </c>
      <c r="O27" s="76"/>
      <c r="U27" s="91"/>
    </row>
    <row r="28" ht="13.5" customHeight="1">
      <c r="A28" s="62"/>
      <c r="B28" s="63" t="s">
        <v>19</v>
      </c>
      <c r="C28" s="65">
        <f t="shared" si="1"/>
        <v>0.153</v>
      </c>
      <c r="D28" s="66">
        <v>7.0</v>
      </c>
      <c r="E28" s="92">
        <v>0.0075</v>
      </c>
      <c r="F28" s="68">
        <f t="shared" si="2"/>
        <v>0.1465</v>
      </c>
      <c r="G28" s="70">
        <f t="shared" si="3"/>
        <v>0.1065</v>
      </c>
      <c r="H28" s="71">
        <f t="shared" si="4"/>
        <v>0.0795</v>
      </c>
      <c r="I28" s="72">
        <f t="shared" si="5"/>
        <v>0.0765</v>
      </c>
      <c r="J28" s="73" t="s">
        <v>56</v>
      </c>
      <c r="L28" s="74" t="s">
        <v>56</v>
      </c>
      <c r="M28" s="75">
        <v>0.037500000000000006</v>
      </c>
      <c r="O28" s="76"/>
      <c r="U28" s="91"/>
    </row>
    <row r="29" ht="13.5" customHeight="1">
      <c r="A29" s="48"/>
      <c r="B29" s="7" t="s">
        <v>20</v>
      </c>
      <c r="C29" s="76">
        <f t="shared" si="1"/>
        <v>0.168</v>
      </c>
      <c r="D29" s="79">
        <v>6.0</v>
      </c>
      <c r="E29" s="93">
        <v>0.0075</v>
      </c>
      <c r="F29" s="81">
        <f t="shared" si="2"/>
        <v>0.154</v>
      </c>
      <c r="G29" s="82">
        <f t="shared" si="3"/>
        <v>0.114</v>
      </c>
      <c r="H29" s="83">
        <f t="shared" si="4"/>
        <v>0.087</v>
      </c>
      <c r="I29" s="85">
        <f t="shared" si="5"/>
        <v>0.084</v>
      </c>
      <c r="J29" s="86" t="s">
        <v>57</v>
      </c>
      <c r="L29" s="87" t="s">
        <v>57</v>
      </c>
      <c r="M29" s="75">
        <v>0.03</v>
      </c>
      <c r="O29" s="76"/>
      <c r="U29" s="88"/>
    </row>
    <row r="30" ht="13.5" customHeight="1">
      <c r="A30" s="62"/>
      <c r="B30" s="63" t="s">
        <v>21</v>
      </c>
      <c r="C30" s="65">
        <f t="shared" si="1"/>
        <v>0.183</v>
      </c>
      <c r="D30" s="66">
        <v>5.0</v>
      </c>
      <c r="E30" s="92">
        <v>0.0075</v>
      </c>
      <c r="F30" s="68">
        <f t="shared" si="2"/>
        <v>0.1615</v>
      </c>
      <c r="G30" s="70">
        <f t="shared" si="3"/>
        <v>0.1215</v>
      </c>
      <c r="H30" s="71">
        <f t="shared" si="4"/>
        <v>0.0945</v>
      </c>
      <c r="I30" s="72">
        <f t="shared" si="5"/>
        <v>0.0915</v>
      </c>
      <c r="J30" s="73" t="s">
        <v>58</v>
      </c>
      <c r="L30" s="74" t="s">
        <v>58</v>
      </c>
      <c r="M30" s="75">
        <v>0.022500000000000006</v>
      </c>
      <c r="O30" s="76"/>
      <c r="U30" s="91"/>
    </row>
    <row r="31" ht="13.5" customHeight="1">
      <c r="A31" s="94"/>
      <c r="B31" s="7" t="s">
        <v>22</v>
      </c>
      <c r="C31" s="76">
        <f t="shared" si="1"/>
        <v>0.198</v>
      </c>
      <c r="D31" s="79">
        <v>4.0</v>
      </c>
      <c r="E31" s="93">
        <v>0.0075</v>
      </c>
      <c r="F31" s="81">
        <f t="shared" si="2"/>
        <v>0.169</v>
      </c>
      <c r="G31" s="82">
        <f t="shared" si="3"/>
        <v>0.129</v>
      </c>
      <c r="H31" s="83">
        <f t="shared" si="4"/>
        <v>0.102</v>
      </c>
      <c r="I31" s="85">
        <f t="shared" si="5"/>
        <v>0.099</v>
      </c>
      <c r="J31" s="86" t="s">
        <v>59</v>
      </c>
      <c r="L31" s="87" t="s">
        <v>59</v>
      </c>
      <c r="M31" s="75">
        <v>0.015</v>
      </c>
      <c r="N31" s="95"/>
      <c r="O31" s="76"/>
    </row>
    <row r="32" ht="13.5" customHeight="1">
      <c r="A32" s="96"/>
      <c r="B32" s="63" t="s">
        <v>23</v>
      </c>
      <c r="C32" s="65">
        <f t="shared" si="1"/>
        <v>0.213</v>
      </c>
      <c r="D32" s="66">
        <v>3.0</v>
      </c>
      <c r="E32" s="90">
        <f>(I37-I32)+E37</f>
        <v>0.0075</v>
      </c>
      <c r="F32" s="68">
        <f t="shared" si="2"/>
        <v>0.1765</v>
      </c>
      <c r="G32" s="70">
        <f t="shared" si="3"/>
        <v>0.1365</v>
      </c>
      <c r="H32" s="71">
        <f t="shared" si="4"/>
        <v>0.1095</v>
      </c>
      <c r="I32" s="72">
        <f t="shared" si="5"/>
        <v>0.1065</v>
      </c>
      <c r="J32" s="73" t="s">
        <v>65</v>
      </c>
      <c r="L32" s="74" t="s">
        <v>65</v>
      </c>
      <c r="M32" s="75">
        <v>0.007500000000000007</v>
      </c>
      <c r="N32" s="95"/>
      <c r="O32" s="76"/>
    </row>
    <row r="33" ht="13.5" customHeight="1">
      <c r="A33" s="94"/>
      <c r="B33" s="24" t="s">
        <v>108</v>
      </c>
      <c r="C33" s="78">
        <v>0.216</v>
      </c>
      <c r="D33" s="79"/>
      <c r="E33" s="80"/>
      <c r="F33" s="81"/>
      <c r="G33" s="82"/>
      <c r="H33" s="83"/>
      <c r="I33" s="85"/>
      <c r="J33" s="86"/>
      <c r="L33" s="87"/>
      <c r="M33" s="75"/>
      <c r="N33" s="95"/>
      <c r="O33" s="76"/>
    </row>
    <row r="34" ht="13.5" customHeight="1">
      <c r="A34" s="102"/>
      <c r="B34" s="206" t="s">
        <v>109</v>
      </c>
      <c r="C34" s="207">
        <v>0.219</v>
      </c>
      <c r="D34" s="208"/>
      <c r="E34" s="90"/>
      <c r="F34" s="209"/>
      <c r="G34" s="210"/>
      <c r="H34" s="211"/>
      <c r="I34" s="212"/>
      <c r="J34" s="213"/>
      <c r="L34" s="74"/>
      <c r="M34" s="75"/>
      <c r="N34" s="95"/>
      <c r="O34" s="76"/>
    </row>
    <row r="35" ht="13.5" customHeight="1">
      <c r="A35" s="94"/>
      <c r="B35" s="24" t="s">
        <v>110</v>
      </c>
      <c r="C35" s="78">
        <v>0.222</v>
      </c>
      <c r="D35" s="79"/>
      <c r="E35" s="80"/>
      <c r="F35" s="81"/>
      <c r="G35" s="82"/>
      <c r="H35" s="83"/>
      <c r="I35" s="85"/>
      <c r="J35" s="86"/>
      <c r="L35" s="87"/>
      <c r="M35" s="75"/>
      <c r="N35" s="95"/>
      <c r="O35" s="76"/>
    </row>
    <row r="36" ht="13.5" customHeight="1">
      <c r="A36" s="225" t="s">
        <v>113</v>
      </c>
      <c r="B36" s="206" t="s">
        <v>111</v>
      </c>
      <c r="C36" s="207">
        <v>0.225</v>
      </c>
      <c r="D36" s="208"/>
      <c r="E36" s="90"/>
      <c r="F36" s="209"/>
      <c r="G36" s="210"/>
      <c r="H36" s="211"/>
      <c r="I36" s="212"/>
      <c r="J36" s="213"/>
      <c r="L36" s="74"/>
      <c r="M36" s="75"/>
      <c r="N36" s="95"/>
      <c r="O36" s="76"/>
    </row>
    <row r="37" ht="13.5" customHeight="1">
      <c r="A37" s="94"/>
      <c r="B37" s="7" t="s">
        <v>24</v>
      </c>
      <c r="C37" s="76">
        <f t="shared" ref="C37:C39" si="6">H15</f>
        <v>0.228</v>
      </c>
      <c r="D37" s="79">
        <v>2.0</v>
      </c>
      <c r="E37" s="80">
        <f t="shared" ref="E37:E38" si="7">(I38-I37)+E38</f>
        <v>0</v>
      </c>
      <c r="F37" s="81">
        <f>I37+$D$17</f>
        <v>0.184</v>
      </c>
      <c r="G37" s="82">
        <f t="shared" ref="G37:G39" si="8">I37+$D$18</f>
        <v>0.144</v>
      </c>
      <c r="H37" s="83">
        <f t="shared" ref="H37:H39" si="9">I37+0.003</f>
        <v>0.117</v>
      </c>
      <c r="I37" s="85">
        <f t="shared" ref="I37:I39" si="10">C37/2</f>
        <v>0.114</v>
      </c>
      <c r="J37" s="86" t="s">
        <v>66</v>
      </c>
      <c r="L37" s="87" t="s">
        <v>66</v>
      </c>
      <c r="M37" s="75">
        <v>0.0</v>
      </c>
      <c r="O37" s="76"/>
    </row>
    <row r="38" ht="13.5" customHeight="1">
      <c r="A38" s="62"/>
      <c r="B38" s="108" t="s">
        <v>25</v>
      </c>
      <c r="C38" s="109">
        <f t="shared" si="6"/>
        <v>0.228</v>
      </c>
      <c r="D38" s="66">
        <v>1.0</v>
      </c>
      <c r="E38" s="90">
        <f t="shared" si="7"/>
        <v>0</v>
      </c>
      <c r="F38" s="68">
        <f>F39</f>
        <v>0.184</v>
      </c>
      <c r="G38" s="70">
        <f t="shared" si="8"/>
        <v>0.144</v>
      </c>
      <c r="H38" s="71">
        <f t="shared" si="9"/>
        <v>0.117</v>
      </c>
      <c r="I38" s="72">
        <f t="shared" si="10"/>
        <v>0.114</v>
      </c>
      <c r="J38" s="73" t="s">
        <v>67</v>
      </c>
      <c r="L38" s="74" t="s">
        <v>67</v>
      </c>
      <c r="M38" s="75">
        <v>0.0</v>
      </c>
      <c r="O38" s="76"/>
    </row>
    <row r="39" ht="13.5" customHeight="1">
      <c r="A39" s="112"/>
      <c r="B39" s="113" t="s">
        <v>68</v>
      </c>
      <c r="C39" s="114">
        <f t="shared" si="6"/>
        <v>0.228</v>
      </c>
      <c r="D39" s="115">
        <v>0.0</v>
      </c>
      <c r="E39" s="116">
        <v>0.0</v>
      </c>
      <c r="F39" s="117">
        <f>F37</f>
        <v>0.184</v>
      </c>
      <c r="G39" s="119">
        <f t="shared" si="8"/>
        <v>0.144</v>
      </c>
      <c r="H39" s="121">
        <f t="shared" si="9"/>
        <v>0.117</v>
      </c>
      <c r="I39" s="122">
        <f t="shared" si="10"/>
        <v>0.114</v>
      </c>
      <c r="J39" s="123" t="s">
        <v>70</v>
      </c>
      <c r="L39" s="124" t="s">
        <v>70</v>
      </c>
      <c r="M39" s="125">
        <v>0.0</v>
      </c>
      <c r="O39" s="76"/>
    </row>
    <row r="40" ht="12.75" customHeight="1">
      <c r="B40" s="7"/>
      <c r="C40" s="76"/>
      <c r="D40" s="76"/>
      <c r="E40" s="76"/>
      <c r="F40" s="76"/>
      <c r="G40" s="76"/>
      <c r="H40" s="76"/>
      <c r="I40" s="76"/>
      <c r="J40" s="91"/>
      <c r="K40" s="49"/>
      <c r="L40" s="7"/>
      <c r="M40" s="126"/>
      <c r="N40" s="126"/>
      <c r="O40" s="126"/>
      <c r="P40" s="126"/>
      <c r="Q40" s="126"/>
      <c r="R40" s="126"/>
      <c r="S40" s="126"/>
      <c r="T40" s="91"/>
    </row>
    <row r="41" ht="12.75" customHeight="1">
      <c r="A41" s="49"/>
      <c r="B41" s="7"/>
      <c r="C41" s="76"/>
      <c r="D41" s="76"/>
      <c r="E41" s="76"/>
      <c r="F41" s="76"/>
      <c r="G41" s="76"/>
      <c r="H41" s="76"/>
      <c r="I41" s="76"/>
      <c r="J41" s="91"/>
      <c r="K41" s="49"/>
      <c r="L41" s="7"/>
      <c r="M41" s="126"/>
      <c r="N41" s="126"/>
      <c r="O41" s="126"/>
      <c r="P41" s="126"/>
      <c r="Q41" s="126"/>
      <c r="R41" s="126"/>
      <c r="S41" s="126"/>
      <c r="T41" s="91"/>
    </row>
    <row r="42" ht="12.75" customHeight="1">
      <c r="B42" s="7"/>
      <c r="C42" s="76"/>
      <c r="D42" s="76"/>
      <c r="E42" s="76"/>
      <c r="F42" s="76"/>
      <c r="G42" s="76"/>
      <c r="H42" s="76"/>
      <c r="I42" s="76"/>
      <c r="J42" s="91"/>
      <c r="K42" s="49"/>
      <c r="L42" s="7"/>
      <c r="M42" s="126"/>
      <c r="N42" s="126"/>
      <c r="O42" s="126"/>
      <c r="P42" s="126"/>
      <c r="Q42" s="126"/>
      <c r="R42" s="126"/>
      <c r="S42" s="126"/>
      <c r="T42" s="91"/>
    </row>
    <row r="43" ht="12.75" customHeight="1">
      <c r="B43" s="7"/>
      <c r="C43" s="76"/>
      <c r="D43" s="76"/>
      <c r="E43" s="76"/>
      <c r="F43" s="76"/>
      <c r="G43" s="151" t="s">
        <v>71</v>
      </c>
      <c r="H43" s="153"/>
      <c r="I43" s="155"/>
      <c r="J43" s="91"/>
      <c r="K43" s="49"/>
      <c r="L43" s="7"/>
      <c r="M43" s="126"/>
      <c r="N43" s="126"/>
      <c r="O43" s="126"/>
      <c r="P43" s="126"/>
      <c r="Q43" s="126"/>
      <c r="R43" s="126"/>
      <c r="S43" s="126"/>
      <c r="T43" s="91"/>
    </row>
    <row r="44">
      <c r="D44" s="127"/>
      <c r="E44" s="127"/>
      <c r="F44" s="127"/>
      <c r="G44" s="127"/>
      <c r="H44" s="128"/>
      <c r="L44" s="35" t="s">
        <v>30</v>
      </c>
    </row>
    <row r="45" ht="12.75" customHeight="1">
      <c r="A45" s="129"/>
      <c r="B45" s="34"/>
      <c r="C45" s="36" t="s">
        <v>31</v>
      </c>
      <c r="D45" s="36" t="s">
        <v>33</v>
      </c>
      <c r="E45" s="37" t="s">
        <v>35</v>
      </c>
      <c r="F45" s="45" t="s">
        <v>41</v>
      </c>
      <c r="G45" s="47" t="s">
        <v>42</v>
      </c>
      <c r="H45" s="40" t="s">
        <v>38</v>
      </c>
      <c r="I45" s="41" t="s">
        <v>39</v>
      </c>
      <c r="J45" s="130"/>
      <c r="L45" s="43" t="s">
        <v>33</v>
      </c>
      <c r="M45" s="44" t="s">
        <v>40</v>
      </c>
    </row>
    <row r="46" ht="12.75" customHeight="1">
      <c r="A46" s="131"/>
      <c r="B46" s="7" t="s">
        <v>3</v>
      </c>
      <c r="C46" s="49" t="s">
        <v>43</v>
      </c>
      <c r="D46" s="7" t="s">
        <v>44</v>
      </c>
      <c r="E46" s="52"/>
      <c r="F46" s="53" t="s">
        <v>46</v>
      </c>
      <c r="G46" s="54" t="s">
        <v>46</v>
      </c>
      <c r="H46" s="56" t="s">
        <v>47</v>
      </c>
      <c r="I46" s="58" t="s">
        <v>37</v>
      </c>
      <c r="J46" s="59" t="s">
        <v>33</v>
      </c>
      <c r="L46" s="60"/>
      <c r="M46" s="61" t="s">
        <v>80</v>
      </c>
    </row>
    <row r="47" ht="12.75" customHeight="1">
      <c r="A47" s="62"/>
      <c r="B47" s="63" t="s">
        <v>5</v>
      </c>
      <c r="C47" s="135">
        <f t="shared" ref="C47:C58" si="11">J4</f>
        <v>0.213</v>
      </c>
      <c r="D47" s="133">
        <v>13.0</v>
      </c>
      <c r="E47" s="141">
        <v>0.0075</v>
      </c>
      <c r="F47" s="136">
        <f t="shared" ref="F47:F58" si="12">I47+$D$17</f>
        <v>0.1765</v>
      </c>
      <c r="G47" s="70">
        <f t="shared" ref="G47:G58" si="13">I47+$D$18</f>
        <v>0.1365</v>
      </c>
      <c r="H47" s="71">
        <f t="shared" ref="H47:H60" si="14">I47+0.003</f>
        <v>0.1095</v>
      </c>
      <c r="I47" s="72">
        <f t="shared" ref="I47:I60" si="15">C47/2</f>
        <v>0.1065</v>
      </c>
      <c r="J47" s="73" t="s">
        <v>49</v>
      </c>
      <c r="L47" s="74" t="s">
        <v>49</v>
      </c>
      <c r="M47" s="137">
        <v>0.081</v>
      </c>
    </row>
    <row r="48" ht="12.75" customHeight="1">
      <c r="A48" s="77" t="s">
        <v>69</v>
      </c>
      <c r="B48" s="7" t="s">
        <v>9</v>
      </c>
      <c r="C48" s="20">
        <f t="shared" si="11"/>
        <v>0.228</v>
      </c>
      <c r="D48" s="79">
        <v>12.0</v>
      </c>
      <c r="E48" s="141">
        <v>0.0065</v>
      </c>
      <c r="F48" s="139">
        <f t="shared" si="12"/>
        <v>0.184</v>
      </c>
      <c r="G48" s="82">
        <f t="shared" si="13"/>
        <v>0.144</v>
      </c>
      <c r="H48" s="83">
        <f t="shared" si="14"/>
        <v>0.117</v>
      </c>
      <c r="I48" s="85">
        <f t="shared" si="15"/>
        <v>0.114</v>
      </c>
      <c r="J48" s="86" t="s">
        <v>51</v>
      </c>
      <c r="L48" s="87" t="s">
        <v>51</v>
      </c>
      <c r="M48" s="137">
        <v>0.0735</v>
      </c>
    </row>
    <row r="49" ht="12.75" customHeight="1">
      <c r="A49" s="62"/>
      <c r="B49" s="63" t="s">
        <v>13</v>
      </c>
      <c r="C49" s="135">
        <f t="shared" si="11"/>
        <v>0.241</v>
      </c>
      <c r="D49" s="133">
        <v>11.0</v>
      </c>
      <c r="E49" s="141">
        <v>0.0075</v>
      </c>
      <c r="F49" s="136">
        <f t="shared" si="12"/>
        <v>0.1905</v>
      </c>
      <c r="G49" s="70">
        <f t="shared" si="13"/>
        <v>0.1505</v>
      </c>
      <c r="H49" s="71">
        <f t="shared" si="14"/>
        <v>0.1235</v>
      </c>
      <c r="I49" s="72">
        <f t="shared" si="15"/>
        <v>0.1205</v>
      </c>
      <c r="J49" s="73" t="s">
        <v>52</v>
      </c>
      <c r="L49" s="74" t="s">
        <v>52</v>
      </c>
      <c r="M49" s="137">
        <v>0.067</v>
      </c>
    </row>
    <row r="50" ht="12.75" customHeight="1">
      <c r="A50" s="48"/>
      <c r="B50" s="7" t="s">
        <v>16</v>
      </c>
      <c r="C50" s="20">
        <f t="shared" si="11"/>
        <v>0.256</v>
      </c>
      <c r="D50" s="79">
        <v>10.0</v>
      </c>
      <c r="E50" s="141">
        <v>0.007</v>
      </c>
      <c r="F50" s="139">
        <f t="shared" si="12"/>
        <v>0.198</v>
      </c>
      <c r="G50" s="82">
        <f t="shared" si="13"/>
        <v>0.158</v>
      </c>
      <c r="H50" s="83">
        <f t="shared" si="14"/>
        <v>0.131</v>
      </c>
      <c r="I50" s="85">
        <f t="shared" si="15"/>
        <v>0.128</v>
      </c>
      <c r="J50" s="86" t="s">
        <v>53</v>
      </c>
      <c r="L50" s="87" t="s">
        <v>53</v>
      </c>
      <c r="M50" s="137">
        <v>0.0595</v>
      </c>
    </row>
    <row r="51" ht="12.75" customHeight="1">
      <c r="A51" s="62"/>
      <c r="B51" s="63" t="s">
        <v>17</v>
      </c>
      <c r="C51" s="135">
        <f t="shared" si="11"/>
        <v>0.27</v>
      </c>
      <c r="D51" s="133">
        <v>9.0</v>
      </c>
      <c r="E51" s="141">
        <v>0.0075</v>
      </c>
      <c r="F51" s="136">
        <f t="shared" si="12"/>
        <v>0.205</v>
      </c>
      <c r="G51" s="70">
        <f t="shared" si="13"/>
        <v>0.165</v>
      </c>
      <c r="H51" s="71">
        <f t="shared" si="14"/>
        <v>0.138</v>
      </c>
      <c r="I51" s="72">
        <f t="shared" si="15"/>
        <v>0.135</v>
      </c>
      <c r="J51" s="73" t="s">
        <v>54</v>
      </c>
      <c r="L51" s="74" t="s">
        <v>54</v>
      </c>
      <c r="M51" s="137">
        <v>0.05249999999999999</v>
      </c>
    </row>
    <row r="52" ht="12.75" customHeight="1">
      <c r="A52" s="48"/>
      <c r="B52" s="7" t="s">
        <v>18</v>
      </c>
      <c r="C52" s="20">
        <f t="shared" si="11"/>
        <v>0.285</v>
      </c>
      <c r="D52" s="97">
        <v>8.0</v>
      </c>
      <c r="E52" s="164">
        <v>0.008</v>
      </c>
      <c r="F52" s="165">
        <f t="shared" si="12"/>
        <v>0.2125</v>
      </c>
      <c r="G52" s="100">
        <f t="shared" si="13"/>
        <v>0.1725</v>
      </c>
      <c r="H52" s="103">
        <f t="shared" si="14"/>
        <v>0.1455</v>
      </c>
      <c r="I52" s="104">
        <f t="shared" si="15"/>
        <v>0.1425</v>
      </c>
      <c r="J52" s="105" t="s">
        <v>55</v>
      </c>
      <c r="L52" s="87" t="s">
        <v>55</v>
      </c>
      <c r="M52" s="137">
        <v>0.04500000000000001</v>
      </c>
    </row>
    <row r="53" ht="12.75" customHeight="1">
      <c r="A53" s="62"/>
      <c r="B53" s="63" t="s">
        <v>19</v>
      </c>
      <c r="C53" s="135">
        <f t="shared" si="11"/>
        <v>0.301</v>
      </c>
      <c r="D53" s="133">
        <v>7.0</v>
      </c>
      <c r="E53" s="141">
        <v>0.0065</v>
      </c>
      <c r="F53" s="136">
        <f t="shared" si="12"/>
        <v>0.2205</v>
      </c>
      <c r="G53" s="70">
        <f t="shared" si="13"/>
        <v>0.1805</v>
      </c>
      <c r="H53" s="71">
        <f t="shared" si="14"/>
        <v>0.1535</v>
      </c>
      <c r="I53" s="72">
        <f t="shared" si="15"/>
        <v>0.1505</v>
      </c>
      <c r="J53" s="73" t="s">
        <v>56</v>
      </c>
      <c r="L53" s="74" t="s">
        <v>56</v>
      </c>
      <c r="M53" s="137">
        <v>0.037000000000000005</v>
      </c>
    </row>
    <row r="54" ht="12.75" customHeight="1">
      <c r="A54" s="48"/>
      <c r="B54" s="7" t="s">
        <v>20</v>
      </c>
      <c r="C54" s="20">
        <f t="shared" si="11"/>
        <v>0.314</v>
      </c>
      <c r="D54" s="79">
        <v>6.0</v>
      </c>
      <c r="E54" s="141">
        <v>0.0085</v>
      </c>
      <c r="F54" s="139">
        <f t="shared" si="12"/>
        <v>0.227</v>
      </c>
      <c r="G54" s="82">
        <f t="shared" si="13"/>
        <v>0.187</v>
      </c>
      <c r="H54" s="83">
        <f t="shared" si="14"/>
        <v>0.16</v>
      </c>
      <c r="I54" s="85">
        <f t="shared" si="15"/>
        <v>0.157</v>
      </c>
      <c r="J54" s="86" t="s">
        <v>57</v>
      </c>
      <c r="L54" s="87" t="s">
        <v>57</v>
      </c>
      <c r="M54" s="137">
        <v>0.0305</v>
      </c>
    </row>
    <row r="55" ht="12.75" customHeight="1">
      <c r="A55" s="62"/>
      <c r="B55" s="63" t="s">
        <v>21</v>
      </c>
      <c r="C55" s="135">
        <f t="shared" si="11"/>
        <v>0.331</v>
      </c>
      <c r="D55" s="133">
        <v>5.0</v>
      </c>
      <c r="E55" s="141">
        <v>0.0075</v>
      </c>
      <c r="F55" s="136">
        <f t="shared" si="12"/>
        <v>0.2355</v>
      </c>
      <c r="G55" s="70">
        <f t="shared" si="13"/>
        <v>0.1955</v>
      </c>
      <c r="H55" s="71">
        <f t="shared" si="14"/>
        <v>0.1685</v>
      </c>
      <c r="I55" s="72">
        <f t="shared" si="15"/>
        <v>0.1655</v>
      </c>
      <c r="J55" s="73" t="s">
        <v>58</v>
      </c>
      <c r="L55" s="74" t="s">
        <v>58</v>
      </c>
      <c r="M55" s="137">
        <v>0.021999999999999992</v>
      </c>
    </row>
    <row r="56" ht="12.75" customHeight="1">
      <c r="A56" s="48"/>
      <c r="B56" s="7" t="s">
        <v>22</v>
      </c>
      <c r="C56" s="20">
        <f t="shared" si="11"/>
        <v>0.346</v>
      </c>
      <c r="D56" s="79">
        <v>4.0</v>
      </c>
      <c r="E56" s="141">
        <v>0.0075</v>
      </c>
      <c r="F56" s="139">
        <f t="shared" si="12"/>
        <v>0.243</v>
      </c>
      <c r="G56" s="82">
        <f t="shared" si="13"/>
        <v>0.203</v>
      </c>
      <c r="H56" s="83">
        <f t="shared" si="14"/>
        <v>0.176</v>
      </c>
      <c r="I56" s="85">
        <f t="shared" si="15"/>
        <v>0.173</v>
      </c>
      <c r="J56" s="86" t="s">
        <v>59</v>
      </c>
      <c r="L56" s="87" t="s">
        <v>59</v>
      </c>
      <c r="M56" s="137">
        <v>0.014500000000000013</v>
      </c>
    </row>
    <row r="57" ht="12.75" customHeight="1">
      <c r="A57" s="62"/>
      <c r="B57" s="63" t="s">
        <v>23</v>
      </c>
      <c r="C57" s="135">
        <f t="shared" si="11"/>
        <v>0.361</v>
      </c>
      <c r="D57" s="133">
        <v>3.0</v>
      </c>
      <c r="E57" s="134">
        <f>(I58-I57)+E58</f>
        <v>0.007</v>
      </c>
      <c r="F57" s="136">
        <f t="shared" si="12"/>
        <v>0.2505</v>
      </c>
      <c r="G57" s="70">
        <f t="shared" si="13"/>
        <v>0.2105</v>
      </c>
      <c r="H57" s="71">
        <f t="shared" si="14"/>
        <v>0.1835</v>
      </c>
      <c r="I57" s="72">
        <f t="shared" si="15"/>
        <v>0.1805</v>
      </c>
      <c r="J57" s="73" t="s">
        <v>65</v>
      </c>
      <c r="L57" s="74" t="s">
        <v>65</v>
      </c>
      <c r="M57" s="137">
        <v>0.007000000000000006</v>
      </c>
    </row>
    <row r="58" ht="12.75" customHeight="1">
      <c r="A58" s="48"/>
      <c r="B58" s="7" t="s">
        <v>24</v>
      </c>
      <c r="C58" s="20">
        <f t="shared" si="11"/>
        <v>0.375</v>
      </c>
      <c r="D58" s="79">
        <v>2.0</v>
      </c>
      <c r="E58" s="134">
        <v>0.0</v>
      </c>
      <c r="F58" s="139">
        <f t="shared" si="12"/>
        <v>0.2575</v>
      </c>
      <c r="G58" s="82">
        <f t="shared" si="13"/>
        <v>0.2175</v>
      </c>
      <c r="H58" s="83">
        <f t="shared" si="14"/>
        <v>0.1905</v>
      </c>
      <c r="I58" s="85">
        <f t="shared" si="15"/>
        <v>0.1875</v>
      </c>
      <c r="J58" s="86" t="s">
        <v>66</v>
      </c>
      <c r="L58" s="87" t="s">
        <v>66</v>
      </c>
      <c r="M58" s="137">
        <v>0.0</v>
      </c>
    </row>
    <row r="59" ht="12.75" customHeight="1">
      <c r="A59" s="62"/>
      <c r="B59" s="63"/>
      <c r="C59" s="154">
        <f>J15</f>
        <v>0.375</v>
      </c>
      <c r="D59" s="133">
        <v>1.0</v>
      </c>
      <c r="E59" s="134">
        <f>(I60-I59)+E60</f>
        <v>0</v>
      </c>
      <c r="F59" s="136">
        <f>F60</f>
        <v>0.2575</v>
      </c>
      <c r="G59" s="70">
        <f t="shared" ref="G59:G60" si="16">G58</f>
        <v>0.2175</v>
      </c>
      <c r="H59" s="71">
        <f t="shared" si="14"/>
        <v>0.1905</v>
      </c>
      <c r="I59" s="72">
        <f t="shared" si="15"/>
        <v>0.1875</v>
      </c>
      <c r="J59" s="73" t="s">
        <v>67</v>
      </c>
      <c r="L59" s="74" t="s">
        <v>67</v>
      </c>
      <c r="M59" s="137">
        <v>0.0</v>
      </c>
    </row>
    <row r="60" ht="13.5" customHeight="1">
      <c r="A60" s="112"/>
      <c r="B60" s="142"/>
      <c r="C60" s="143">
        <f>J15</f>
        <v>0.375</v>
      </c>
      <c r="D60" s="115">
        <v>0.0</v>
      </c>
      <c r="E60" s="144">
        <v>0.0</v>
      </c>
      <c r="F60" s="145">
        <f>F58</f>
        <v>0.2575</v>
      </c>
      <c r="G60" s="119">
        <f t="shared" si="16"/>
        <v>0.2175</v>
      </c>
      <c r="H60" s="121">
        <f t="shared" si="14"/>
        <v>0.1905</v>
      </c>
      <c r="I60" s="146">
        <f t="shared" si="15"/>
        <v>0.1875</v>
      </c>
      <c r="J60" s="123" t="s">
        <v>70</v>
      </c>
      <c r="L60" s="124" t="s">
        <v>70</v>
      </c>
      <c r="M60" s="147">
        <v>0.0</v>
      </c>
    </row>
    <row r="61" ht="12.75" customHeight="1">
      <c r="A61" s="95"/>
      <c r="B61" s="88"/>
      <c r="C61" s="126"/>
      <c r="D61" s="148"/>
      <c r="E61" s="149"/>
      <c r="F61" s="79"/>
      <c r="G61" s="150"/>
      <c r="H61" s="95"/>
      <c r="I61" s="152"/>
      <c r="J61" s="91"/>
    </row>
    <row r="62" ht="12.75" customHeight="1">
      <c r="A62" s="95"/>
      <c r="B62" s="88"/>
      <c r="C62" s="126"/>
      <c r="D62" s="148"/>
      <c r="E62" s="149"/>
      <c r="F62" s="79"/>
      <c r="G62" s="150"/>
      <c r="H62" s="126"/>
      <c r="I62" s="152"/>
      <c r="J62" s="91"/>
    </row>
    <row r="63" ht="12.75" customHeight="1">
      <c r="A63" s="49"/>
      <c r="B63" s="7"/>
      <c r="C63" s="126"/>
      <c r="D63" s="148"/>
      <c r="E63" s="149"/>
      <c r="F63" s="79"/>
      <c r="G63" s="150"/>
      <c r="H63" s="126"/>
      <c r="I63" s="152"/>
      <c r="J63" s="91"/>
    </row>
    <row r="64" ht="12.75" customHeight="1">
      <c r="A64" s="49"/>
      <c r="B64" s="7"/>
      <c r="C64" s="126"/>
      <c r="D64" s="148"/>
      <c r="E64" s="149"/>
      <c r="F64" s="79"/>
      <c r="G64" s="150"/>
      <c r="H64" s="126"/>
      <c r="I64" s="152"/>
      <c r="J64" s="91"/>
      <c r="M64" s="49"/>
      <c r="T64" s="156"/>
    </row>
    <row r="65" ht="12.75" customHeight="1">
      <c r="A65" s="5"/>
      <c r="B65" s="156"/>
      <c r="D65" s="49"/>
      <c r="E65" s="49"/>
      <c r="F65" s="49"/>
      <c r="G65" s="49"/>
      <c r="J65" s="157"/>
      <c r="M65" s="49"/>
      <c r="T65" s="157"/>
    </row>
    <row r="66" ht="12.75" customHeight="1">
      <c r="A66" s="5"/>
      <c r="B66" s="158"/>
      <c r="M66" s="49"/>
      <c r="T66" s="157"/>
    </row>
    <row r="67" ht="12.75" customHeight="1">
      <c r="A67" s="5"/>
      <c r="B67" s="159"/>
      <c r="D67" s="49"/>
      <c r="E67" s="49"/>
      <c r="F67" s="49"/>
      <c r="G67" s="49"/>
      <c r="K67" s="156"/>
      <c r="M67" s="49"/>
      <c r="T67" s="157"/>
    </row>
    <row r="68" ht="12.75" customHeight="1">
      <c r="A68" s="5"/>
      <c r="B68" s="157"/>
      <c r="D68" s="49"/>
      <c r="E68" s="49"/>
      <c r="F68" s="49"/>
      <c r="G68" s="49"/>
      <c r="K68" s="156"/>
    </row>
    <row r="69" ht="12.75" customHeight="1">
      <c r="A69" s="5"/>
      <c r="B69" s="160"/>
      <c r="M69" s="91"/>
      <c r="N69" s="5"/>
      <c r="O69" s="5"/>
      <c r="P69" s="5"/>
      <c r="Q69" s="5"/>
      <c r="R69" s="91"/>
      <c r="S69" s="46"/>
    </row>
    <row r="70" ht="12.75" customHeight="1">
      <c r="A70" s="91"/>
      <c r="B70" s="7"/>
      <c r="C70" s="46"/>
      <c r="D70" s="46"/>
      <c r="E70" s="46"/>
      <c r="F70" s="46"/>
      <c r="G70" s="46"/>
      <c r="H70" s="91"/>
      <c r="I70" s="91"/>
      <c r="J70" s="91"/>
      <c r="K70" s="91"/>
      <c r="M70" s="91"/>
      <c r="N70" s="49"/>
      <c r="O70" s="49"/>
      <c r="P70" s="49"/>
      <c r="Q70" s="49"/>
      <c r="R70" s="46"/>
      <c r="T70" s="46"/>
      <c r="U70" s="7"/>
    </row>
    <row r="71" ht="12.75" customHeight="1">
      <c r="A71" s="7"/>
      <c r="B71" s="128"/>
      <c r="D71" s="7"/>
      <c r="E71" s="7"/>
      <c r="F71" s="7"/>
      <c r="G71" s="7"/>
      <c r="H71" s="7"/>
      <c r="I71" s="7"/>
      <c r="J71" s="7"/>
      <c r="K71" s="7"/>
      <c r="M71" s="7"/>
      <c r="R71" s="7"/>
      <c r="S71" s="7"/>
      <c r="T71" s="7"/>
      <c r="U71" s="7"/>
    </row>
    <row r="72" ht="12.75" customHeight="1">
      <c r="A72" s="7"/>
      <c r="B72" s="10"/>
      <c r="C72" s="76"/>
      <c r="D72" s="162"/>
      <c r="E72" s="162"/>
      <c r="F72" s="162"/>
      <c r="G72" s="162"/>
      <c r="H72" s="162"/>
      <c r="I72" s="162"/>
      <c r="J72" s="91"/>
      <c r="K72" s="91"/>
      <c r="M72" s="7"/>
      <c r="N72" s="10"/>
      <c r="O72" s="10"/>
      <c r="P72" s="10"/>
      <c r="Q72" s="10"/>
      <c r="R72" s="162"/>
      <c r="S72" s="162"/>
      <c r="T72" s="162"/>
      <c r="U72" s="91"/>
    </row>
    <row r="73" ht="12.75" customHeight="1">
      <c r="A73" s="7"/>
      <c r="B73" s="10"/>
      <c r="C73" s="76"/>
      <c r="D73" s="162"/>
      <c r="E73" s="162"/>
      <c r="F73" s="162"/>
      <c r="G73" s="162"/>
      <c r="H73" s="162"/>
      <c r="I73" s="162"/>
      <c r="J73" s="91"/>
      <c r="K73" s="88"/>
      <c r="M73" s="7"/>
      <c r="N73" s="10"/>
      <c r="O73" s="10"/>
      <c r="P73" s="10"/>
      <c r="Q73" s="10"/>
      <c r="R73" s="162"/>
      <c r="S73" s="162"/>
      <c r="T73" s="162"/>
      <c r="U73" s="91"/>
      <c r="V73" s="88"/>
    </row>
    <row r="74" ht="12.75" customHeight="1">
      <c r="A74" s="7"/>
      <c r="B74" s="10"/>
      <c r="C74" s="76"/>
      <c r="D74" s="162"/>
      <c r="E74" s="162"/>
      <c r="F74" s="162"/>
      <c r="G74" s="162"/>
      <c r="H74" s="162"/>
      <c r="I74" s="162"/>
      <c r="J74" s="91"/>
      <c r="K74" s="91"/>
      <c r="M74" s="7"/>
      <c r="N74" s="10"/>
      <c r="O74" s="10"/>
      <c r="P74" s="10"/>
      <c r="Q74" s="10"/>
      <c r="R74" s="162"/>
      <c r="S74" s="162"/>
      <c r="T74" s="162"/>
      <c r="U74" s="91"/>
      <c r="V74" s="91"/>
    </row>
    <row r="75" ht="12.75" customHeight="1">
      <c r="A75" s="7"/>
      <c r="B75" s="10"/>
      <c r="C75" s="76"/>
      <c r="D75" s="162"/>
      <c r="E75" s="162"/>
      <c r="F75" s="162"/>
      <c r="G75" s="162"/>
      <c r="H75" s="162"/>
      <c r="I75" s="162"/>
      <c r="J75" s="91"/>
      <c r="K75" s="91"/>
      <c r="M75" s="7"/>
      <c r="N75" s="10"/>
      <c r="O75" s="10"/>
      <c r="P75" s="10"/>
      <c r="Q75" s="10"/>
      <c r="R75" s="162"/>
      <c r="S75" s="162"/>
      <c r="T75" s="162"/>
      <c r="U75" s="91"/>
      <c r="V75" s="91"/>
    </row>
    <row r="76" ht="12.75" customHeight="1">
      <c r="A76" s="7"/>
      <c r="B76" s="10"/>
      <c r="C76" s="76"/>
      <c r="D76" s="162"/>
      <c r="E76" s="162"/>
      <c r="F76" s="162"/>
      <c r="G76" s="162"/>
      <c r="H76" s="162"/>
      <c r="I76" s="162"/>
      <c r="J76" s="91"/>
      <c r="K76" s="88"/>
      <c r="M76" s="7"/>
      <c r="N76" s="10"/>
      <c r="O76" s="10"/>
      <c r="P76" s="10"/>
      <c r="Q76" s="10"/>
      <c r="R76" s="162"/>
      <c r="S76" s="162"/>
      <c r="T76" s="162"/>
      <c r="U76" s="91"/>
      <c r="V76" s="88"/>
    </row>
    <row r="77" ht="12.75" customHeight="1">
      <c r="A77" s="7"/>
      <c r="B77" s="10"/>
      <c r="C77" s="76"/>
      <c r="D77" s="162"/>
      <c r="E77" s="162"/>
      <c r="F77" s="162"/>
      <c r="G77" s="162"/>
      <c r="H77" s="162"/>
      <c r="I77" s="162"/>
      <c r="J77" s="91"/>
      <c r="K77" s="91"/>
      <c r="M77" s="7"/>
      <c r="N77" s="10"/>
      <c r="O77" s="10"/>
      <c r="P77" s="10"/>
      <c r="Q77" s="10"/>
      <c r="R77" s="162"/>
      <c r="S77" s="162"/>
      <c r="T77" s="162"/>
      <c r="U77" s="91"/>
      <c r="V77" s="91"/>
    </row>
    <row r="78" ht="12.75" customHeight="1">
      <c r="A78" s="7"/>
      <c r="B78" s="10"/>
      <c r="C78" s="76"/>
      <c r="D78" s="162"/>
      <c r="E78" s="162"/>
      <c r="F78" s="162"/>
      <c r="G78" s="162"/>
      <c r="H78" s="162"/>
      <c r="I78" s="162"/>
      <c r="J78" s="91"/>
      <c r="K78" s="91"/>
      <c r="M78" s="7"/>
      <c r="N78" s="10"/>
      <c r="O78" s="10"/>
      <c r="P78" s="10"/>
      <c r="Q78" s="10"/>
      <c r="R78" s="162"/>
      <c r="S78" s="162"/>
      <c r="T78" s="162"/>
      <c r="U78" s="91"/>
      <c r="V78" s="91"/>
    </row>
    <row r="79" ht="12.75" customHeight="1">
      <c r="A79" s="7"/>
      <c r="B79" s="10"/>
      <c r="C79" s="76"/>
      <c r="D79" s="162"/>
      <c r="E79" s="162"/>
      <c r="F79" s="162"/>
      <c r="G79" s="162"/>
      <c r="H79" s="162"/>
      <c r="I79" s="162"/>
      <c r="J79" s="91"/>
      <c r="K79" s="88"/>
      <c r="M79" s="7"/>
      <c r="N79" s="10"/>
      <c r="O79" s="10"/>
      <c r="P79" s="10"/>
      <c r="Q79" s="10"/>
      <c r="R79" s="162"/>
      <c r="S79" s="162"/>
      <c r="T79" s="162"/>
      <c r="U79" s="91"/>
      <c r="V79" s="88"/>
    </row>
    <row r="80" ht="12.75" customHeight="1">
      <c r="A80" s="7"/>
      <c r="B80" s="10"/>
      <c r="C80" s="76"/>
      <c r="D80" s="162"/>
      <c r="E80" s="162"/>
      <c r="F80" s="162"/>
      <c r="G80" s="162"/>
      <c r="H80" s="162"/>
      <c r="I80" s="162"/>
      <c r="J80" s="91"/>
      <c r="K80" s="91"/>
      <c r="M80" s="7"/>
      <c r="N80" s="10"/>
      <c r="O80" s="10"/>
      <c r="P80" s="10"/>
      <c r="Q80" s="10"/>
      <c r="R80" s="162"/>
      <c r="S80" s="162"/>
      <c r="T80" s="162"/>
      <c r="U80" s="91"/>
      <c r="V80" s="91"/>
    </row>
    <row r="81" ht="12.75" customHeight="1">
      <c r="A81" s="7"/>
      <c r="B81" s="10"/>
      <c r="C81" s="10"/>
      <c r="D81" s="162"/>
      <c r="E81" s="162"/>
      <c r="F81" s="162"/>
      <c r="G81" s="162"/>
      <c r="H81" s="162"/>
      <c r="I81" s="162"/>
      <c r="J81" s="91"/>
      <c r="M81" s="7"/>
      <c r="N81" s="10"/>
      <c r="O81" s="10"/>
      <c r="P81" s="10"/>
      <c r="Q81" s="10"/>
      <c r="R81" s="162"/>
      <c r="S81" s="162"/>
      <c r="T81" s="162"/>
      <c r="U81" s="91"/>
    </row>
    <row r="82" ht="12.75" customHeight="1">
      <c r="A82" s="7"/>
      <c r="B82" s="10"/>
      <c r="C82" s="10"/>
      <c r="D82" s="162"/>
      <c r="E82" s="162"/>
      <c r="F82" s="162"/>
      <c r="G82" s="162"/>
      <c r="H82" s="162"/>
      <c r="I82" s="162"/>
      <c r="J82" s="91"/>
      <c r="K82" s="88"/>
      <c r="M82" s="7"/>
      <c r="N82" s="10"/>
      <c r="O82" s="10"/>
      <c r="P82" s="10"/>
      <c r="Q82" s="10"/>
      <c r="R82" s="162"/>
      <c r="S82" s="162"/>
      <c r="T82" s="162"/>
      <c r="U82" s="91"/>
      <c r="V82" s="91"/>
    </row>
    <row r="83" ht="12.75" customHeight="1">
      <c r="A83" s="7"/>
      <c r="C83" s="10"/>
      <c r="D83" s="162"/>
      <c r="E83" s="162"/>
      <c r="F83" s="162"/>
      <c r="G83" s="162"/>
      <c r="K83" s="91"/>
      <c r="M83" s="7"/>
      <c r="N83" s="10"/>
      <c r="O83" s="10"/>
      <c r="P83" s="10"/>
      <c r="Q83" s="10"/>
      <c r="R83" s="162"/>
      <c r="S83" s="162"/>
      <c r="T83" s="162"/>
      <c r="U83" s="91"/>
      <c r="V83" s="88"/>
    </row>
    <row r="84" ht="12.75" customHeight="1">
      <c r="A84" s="7"/>
      <c r="C84" s="10"/>
      <c r="D84" s="162"/>
      <c r="E84" s="162"/>
      <c r="F84" s="162"/>
      <c r="G84" s="162"/>
      <c r="J84" s="7"/>
      <c r="K84" s="7"/>
      <c r="M84" s="7"/>
      <c r="N84" s="76"/>
      <c r="O84" s="76"/>
      <c r="P84" s="76"/>
      <c r="Q84" s="76"/>
      <c r="R84" s="162"/>
      <c r="S84" s="162"/>
      <c r="T84" s="162"/>
      <c r="U84" s="7"/>
      <c r="V84" s="7"/>
    </row>
    <row r="85" ht="12.75" customHeight="1">
      <c r="A85" s="7"/>
      <c r="C85" s="10"/>
      <c r="D85" s="162"/>
      <c r="E85" s="162"/>
      <c r="F85" s="162"/>
      <c r="G85" s="162"/>
      <c r="J85" s="7"/>
      <c r="K85" s="7"/>
    </row>
    <row r="86" ht="12.75" customHeight="1">
      <c r="A86" s="7"/>
      <c r="C86" s="10"/>
      <c r="D86" s="162"/>
      <c r="E86" s="162"/>
      <c r="F86" s="162"/>
      <c r="G86" s="162"/>
    </row>
    <row r="87" ht="12.75" customHeight="1">
      <c r="A87" s="7"/>
      <c r="B87" s="10"/>
      <c r="C87" s="76"/>
      <c r="D87" s="162"/>
      <c r="E87" s="162"/>
      <c r="F87" s="162"/>
      <c r="G87" s="162"/>
      <c r="H87" s="162"/>
      <c r="I87" s="162"/>
    </row>
    <row r="88" ht="12.75" customHeight="1">
      <c r="A88" s="7"/>
      <c r="B88" s="128"/>
      <c r="C88" s="76"/>
      <c r="D88" s="162"/>
      <c r="E88" s="162"/>
      <c r="F88" s="162"/>
      <c r="G88" s="162"/>
      <c r="H88" s="162"/>
      <c r="I88" s="162"/>
    </row>
    <row r="89" ht="12.75" customHeight="1">
      <c r="A89" s="7"/>
      <c r="B89" s="128"/>
      <c r="C89" s="76"/>
      <c r="D89" s="162"/>
      <c r="E89" s="162"/>
      <c r="F89" s="162"/>
      <c r="G89" s="162"/>
      <c r="H89" s="162"/>
      <c r="I89" s="162"/>
    </row>
    <row r="90" ht="12.75" customHeight="1">
      <c r="A90" s="7"/>
      <c r="B90" s="128"/>
      <c r="C90" s="76"/>
      <c r="D90" s="162"/>
      <c r="E90" s="162"/>
      <c r="F90" s="162"/>
      <c r="G90" s="162"/>
      <c r="H90" s="162"/>
      <c r="I90" s="162"/>
    </row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7:C17"/>
    <mergeCell ref="A18:C18"/>
    <mergeCell ref="G18:I18"/>
    <mergeCell ref="G43:I43"/>
  </mergeCells>
  <printOptions/>
  <pageMargins bottom="0.75" footer="0.0" header="0.0" left="0.7" right="0.7" top="0.75"/>
  <pageSetup scale="93" orientation="landscape"/>
  <drawing r:id="rId1"/>
  <tableParts count="2">
    <tablePart r:id="rId4"/>
    <tablePart r:id="rId5"/>
  </tableParts>
</worksheet>
</file>